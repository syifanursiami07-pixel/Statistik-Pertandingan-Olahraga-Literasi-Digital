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Admin\Downloads\"/>
    </mc:Choice>
  </mc:AlternateContent>
  <xr:revisionPtr revIDLastSave="0" documentId="13_ncr:1_{7CDD0AB8-0329-4002-83EB-A8D353B0352E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Dashboard" sheetId="5" r:id="rId1"/>
    <sheet name="Voli" sheetId="1" r:id="rId2"/>
    <sheet name="Basket" sheetId="6" r:id="rId3"/>
    <sheet name="Sepak Bola" sheetId="7" r:id="rId4"/>
  </sheets>
  <definedNames>
    <definedName name="_xlcn.WorksheetConnection_Turnamen_Bola_Voli_FMIPA_UNESA_2025_Knockout_Detail.xlsxTable11" hidden="1">Table1[]</definedName>
    <definedName name="_xlcn.WorksheetConnection_Turnamen_Bola_Voli_FMIPA_UNESA_2025_Knockout_Detail.xlsxTable41" hidden="1">Table4</definedName>
  </definedNames>
  <calcPr calcId="191029"/>
  <extLst>
    <ext xmlns:x15="http://schemas.microsoft.com/office/spreadsheetml/2010/11/main" uri="{FCE2AD5D-F65C-4FA6-A056-5C36A1767C68}">
      <x15:dataModel>
        <x15:modelTables>
          <x15:modelTable id="Table4" name="Table4" connection="WorksheetConnection_Turnamen_Bola_Voli_FMIPA_UNESA_2025_Knockout_Detail.xlsx!Table4"/>
          <x15:modelTable id="Table1" name="Table1" connection="WorksheetConnection_Turnamen_Bola_Voli_FMIPA_UNESA_2025_Knockout_Detail.xlsx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15" i="1" l="1"/>
  <c r="I16" i="1"/>
  <c r="I17" i="1"/>
  <c r="I18" i="1"/>
  <c r="I19" i="1"/>
  <c r="I20" i="1"/>
  <c r="I14" i="1"/>
  <c r="K13" i="6"/>
  <c r="K14" i="6"/>
  <c r="K12" i="6"/>
  <c r="J33" i="7"/>
  <c r="J32" i="7"/>
  <c r="I33" i="7"/>
  <c r="K33" i="7" s="1"/>
  <c r="I32" i="7"/>
  <c r="E33" i="7"/>
  <c r="E32" i="7"/>
  <c r="L14" i="7"/>
  <c r="L13" i="7"/>
  <c r="G33" i="7" s="1"/>
  <c r="D46" i="1"/>
  <c r="H46" i="1" s="1"/>
  <c r="D50" i="1" l="1"/>
  <c r="H50" i="1" s="1"/>
  <c r="K32" i="7"/>
  <c r="D49" i="1"/>
  <c r="H49" i="1" s="1"/>
  <c r="D47" i="1"/>
  <c r="H47" i="1" s="1"/>
  <c r="D51" i="1"/>
  <c r="H51" i="1" s="1"/>
  <c r="D48" i="1"/>
  <c r="H48" i="1" s="1"/>
  <c r="D44" i="1"/>
  <c r="H44" i="1" s="1"/>
  <c r="D45" i="1"/>
  <c r="H45" i="1" s="1"/>
  <c r="F32" i="7"/>
  <c r="G32" i="7"/>
  <c r="F33" i="7"/>
  <c r="L33" i="7" l="1"/>
  <c r="M33" i="7" s="1"/>
  <c r="H33" i="7"/>
  <c r="L32" i="7"/>
  <c r="M32" i="7" s="1"/>
  <c r="C32" i="7" s="1"/>
  <c r="H32" i="7"/>
  <c r="C33" i="7" l="1"/>
  <c r="E47" i="1"/>
  <c r="C47" i="1"/>
  <c r="E45" i="1"/>
  <c r="C45" i="1"/>
  <c r="E46" i="1"/>
  <c r="C46" i="1"/>
  <c r="E51" i="1"/>
  <c r="C51" i="1"/>
  <c r="E48" i="1"/>
  <c r="C48" i="1"/>
  <c r="E49" i="1"/>
  <c r="C49" i="1"/>
  <c r="E50" i="1"/>
  <c r="C50" i="1"/>
  <c r="F50" i="1"/>
  <c r="G46" i="1"/>
  <c r="F49" i="1"/>
  <c r="G45" i="1"/>
  <c r="G48" i="1"/>
  <c r="F48" i="1"/>
  <c r="F45" i="1"/>
  <c r="F44" i="1"/>
  <c r="F46" i="1"/>
  <c r="G47" i="1"/>
  <c r="F51" i="1"/>
  <c r="G51" i="1"/>
  <c r="G50" i="1"/>
  <c r="G44" i="1"/>
  <c r="F47" i="1"/>
  <c r="C44" i="1"/>
  <c r="E44" i="1"/>
  <c r="G49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5CFAB99-86B1-480E-BF43-9CD7A195B3C3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6512C35D-8AD7-41F5-A889-6540A9A703B0}" name="WorksheetConnection_Turnamen_Bola_Voli_FMIPA_UNESA_2025_Knockout_Detail.xlsx!Table1" type="102" refreshedVersion="8" minRefreshableVersion="5">
    <extLst>
      <ext xmlns:x15="http://schemas.microsoft.com/office/spreadsheetml/2010/11/main" uri="{DE250136-89BD-433C-8126-D09CA5730AF9}">
        <x15:connection id="Table1" autoDelete="1">
          <x15:rangePr sourceName="_xlcn.WorksheetConnection_Turnamen_Bola_Voli_FMIPA_UNESA_2025_Knockout_Detail.xlsxTable11"/>
        </x15:connection>
      </ext>
    </extLst>
  </connection>
  <connection id="3" xr16:uid="{C67229A5-39F9-43AB-A61F-C69F67482AFF}" name="WorksheetConnection_Turnamen_Bola_Voli_FMIPA_UNESA_2025_Knockout_Detail.xlsx!Table4" type="102" refreshedVersion="8" minRefreshableVersion="5">
    <extLst>
      <ext xmlns:x15="http://schemas.microsoft.com/office/spreadsheetml/2010/11/main" uri="{DE250136-89BD-433C-8126-D09CA5730AF9}">
        <x15:connection id="Table4">
          <x15:rangePr sourceName="_xlcn.WorksheetConnection_Turnamen_Bola_Voli_FMIPA_UNESA_2025_Knockout_Detail.xlsxTable41"/>
        </x15:connection>
      </ext>
    </extLst>
  </connection>
</connections>
</file>

<file path=xl/sharedStrings.xml><?xml version="1.0" encoding="utf-8"?>
<sst xmlns="http://schemas.openxmlformats.org/spreadsheetml/2006/main" count="278" uniqueCount="136">
  <si>
    <t>No</t>
  </si>
  <si>
    <t>Babak</t>
  </si>
  <si>
    <t>Tanggal</t>
  </si>
  <si>
    <t>Tim 1</t>
  </si>
  <si>
    <t>Tim 2</t>
  </si>
  <si>
    <t>Skor Tim 1</t>
  </si>
  <si>
    <t>Skor Tim 2</t>
  </si>
  <si>
    <t>Pemenang</t>
  </si>
  <si>
    <t>Keterangan</t>
  </si>
  <si>
    <t>SADA</t>
  </si>
  <si>
    <t>BIO</t>
  </si>
  <si>
    <t>Lolos ke Semifinal</t>
  </si>
  <si>
    <t>FIS</t>
  </si>
  <si>
    <t>KIM</t>
  </si>
  <si>
    <t>KA</t>
  </si>
  <si>
    <t>IPA</t>
  </si>
  <si>
    <t>MAT</t>
  </si>
  <si>
    <t>P.BIO</t>
  </si>
  <si>
    <t>Semifinal</t>
  </si>
  <si>
    <t>Lolos ke Final</t>
  </si>
  <si>
    <t>Final</t>
  </si>
  <si>
    <t>Juara 1</t>
  </si>
  <si>
    <t>Set 1</t>
  </si>
  <si>
    <t>Set 2</t>
  </si>
  <si>
    <t>Set 3</t>
  </si>
  <si>
    <t>Set 4</t>
  </si>
  <si>
    <t>Set 5</t>
  </si>
  <si>
    <t>25-15</t>
  </si>
  <si>
    <t>25-22</t>
  </si>
  <si>
    <t>25-17</t>
  </si>
  <si>
    <t>22-25</t>
  </si>
  <si>
    <t>25-18</t>
  </si>
  <si>
    <t>19-25</t>
  </si>
  <si>
    <t>20-25</t>
  </si>
  <si>
    <t>25-23</t>
  </si>
  <si>
    <t>18-25</t>
  </si>
  <si>
    <t>25-20</t>
  </si>
  <si>
    <t>13-15</t>
  </si>
  <si>
    <t>25-19</t>
  </si>
  <si>
    <t>15-12</t>
  </si>
  <si>
    <t>Tim</t>
  </si>
  <si>
    <t>Main</t>
  </si>
  <si>
    <t>Menang</t>
  </si>
  <si>
    <t>Kalah</t>
  </si>
  <si>
    <t>Set Menang</t>
  </si>
  <si>
    <t>Set Kalah</t>
  </si>
  <si>
    <t xml:space="preserve">Poin </t>
  </si>
  <si>
    <t>Ringkasan Kompetisi</t>
  </si>
  <si>
    <t>Total Pertandingan</t>
  </si>
  <si>
    <t>Total Tim</t>
  </si>
  <si>
    <t>Tanggal Pertandingan</t>
  </si>
  <si>
    <t>Juara Pertandingan</t>
  </si>
  <si>
    <t>Juara 2</t>
  </si>
  <si>
    <t>Quarter Final</t>
  </si>
  <si>
    <t xml:space="preserve"> </t>
  </si>
  <si>
    <t>Tim Garuda</t>
  </si>
  <si>
    <t>-</t>
  </si>
  <si>
    <t>1-1</t>
  </si>
  <si>
    <t>0-2</t>
  </si>
  <si>
    <t>Tim Singa</t>
  </si>
  <si>
    <t>1-2</t>
  </si>
  <si>
    <t>Status/Hasil</t>
  </si>
  <si>
    <t>Extra Time</t>
  </si>
  <si>
    <t>Babak 2</t>
  </si>
  <si>
    <t>Babak 1</t>
  </si>
  <si>
    <t>Tim Away</t>
  </si>
  <si>
    <t>Tim Home</t>
  </si>
  <si>
    <t>25/11/2025</t>
  </si>
  <si>
    <t>26/11/2025</t>
  </si>
  <si>
    <t>0 - 1</t>
  </si>
  <si>
    <t>1 - 0</t>
  </si>
  <si>
    <t>0 - 4</t>
  </si>
  <si>
    <t>14 - 9</t>
  </si>
  <si>
    <t>2 - 5</t>
  </si>
  <si>
    <t>2 - 8</t>
  </si>
  <si>
    <t>5 - 15</t>
  </si>
  <si>
    <t>40% - 60%</t>
  </si>
  <si>
    <t>0 - 0</t>
  </si>
  <si>
    <t>2 - 3</t>
  </si>
  <si>
    <t>2 - 1</t>
  </si>
  <si>
    <t>10 - 12</t>
  </si>
  <si>
    <t>4 - 6</t>
  </si>
  <si>
    <t>5 - 3</t>
  </si>
  <si>
    <t>12 - 8</t>
  </si>
  <si>
    <t>55% - 45%</t>
  </si>
  <si>
    <t>Red Cards (H/A)</t>
  </si>
  <si>
    <t>Yellow Cards (H/A)</t>
  </si>
  <si>
    <t>Offsides (H/A)</t>
  </si>
  <si>
    <t>Fouls (H/A)</t>
  </si>
  <si>
    <t>Corners (H/A)</t>
  </si>
  <si>
    <t>Shots on Target (H/A)</t>
  </si>
  <si>
    <t>Shots (H/A)</t>
  </si>
  <si>
    <t>Possession (%)</t>
  </si>
  <si>
    <t>ID Pertandingan</t>
  </si>
  <si>
    <t>Kompetisi</t>
  </si>
  <si>
    <t>Tim Tuan Rumah</t>
  </si>
  <si>
    <t>Skor Tuan Rumah</t>
  </si>
  <si>
    <t>Tim Tamu</t>
  </si>
  <si>
    <t>Skor Tim Tamu</t>
  </si>
  <si>
    <t>BASKET001</t>
  </si>
  <si>
    <t>IBL 2025</t>
  </si>
  <si>
    <t>Patriots</t>
  </si>
  <si>
    <t>Knights</t>
  </si>
  <si>
    <t>BASKET002</t>
  </si>
  <si>
    <t>NBA 2025</t>
  </si>
  <si>
    <t>Nets</t>
  </si>
  <si>
    <t>Suns</t>
  </si>
  <si>
    <t>BASKET003</t>
  </si>
  <si>
    <t>Rans</t>
  </si>
  <si>
    <t>Satria Muda</t>
  </si>
  <si>
    <t>Nama Tim</t>
  </si>
  <si>
    <t>FG%</t>
  </si>
  <si>
    <t>3P%</t>
  </si>
  <si>
    <t>Free Throw%</t>
  </si>
  <si>
    <t>Rebounds (Total)</t>
  </si>
  <si>
    <t>Assists</t>
  </si>
  <si>
    <t>Turnovers</t>
  </si>
  <si>
    <t>Pelanggaran (Fouls)</t>
  </si>
  <si>
    <t>02/11/2025 - 09/11/2025</t>
  </si>
  <si>
    <t>🏐 PERTANDINGAN VOLY FMIPA 2025 🏆</t>
  </si>
  <si>
    <t>Pemenang Pertandingan</t>
  </si>
  <si>
    <t>Pertandingan 1</t>
  </si>
  <si>
    <t>Pertandingan 2</t>
  </si>
  <si>
    <t>Pertandingan 3</t>
  </si>
  <si>
    <t>10/12/2025 - 12/12/2025</t>
  </si>
  <si>
    <t>25/11/2025 - 26/11/2025</t>
  </si>
  <si>
    <t>Pertandingan</t>
  </si>
  <si>
    <t>⚽ PERTANDINGAN SEPAK BOLA 2025🏆</t>
  </si>
  <si>
    <t>🏀 PERTANDINGAN BASKET 2025 🏆</t>
  </si>
  <si>
    <t>Skor Home</t>
  </si>
  <si>
    <t>Skor Away</t>
  </si>
  <si>
    <t>GM</t>
  </si>
  <si>
    <t>GK</t>
  </si>
  <si>
    <t>Poin</t>
  </si>
  <si>
    <t>Seri</t>
  </si>
  <si>
    <t>Selisih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</si>
</sst>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b/>
      <sz val="11"/>
      <name val="Calibri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28"/>
      <color theme="1"/>
      <name val="Castellar"/>
      <family val="1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b/>
      <sz val="11"/>
      <color rgb="FF1F1F1F"/>
      <name val="Castellar"/>
      <family val="1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theme="1" tint="0.34998626667073579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1C3D0D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E86F24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-0.499984740745262"/>
        <bgColor indexed="64"/>
      </patternFill>
    </fill>
  </fills>
  <borders count="33">
    <border>
      <left/>
      <right/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/>
      <bottom/>
      <diagonal/>
    </border>
    <border>
      <left style="thin">
        <color rgb="FFB9B9B9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1">
    <xf numFmtId="0" fontId="0" fillId="0" borderId="0"/>
  </cellStyleXfs>
  <cellXfs count="109">
    <xf numFmtId="0" fontId="0" fillId="0" borderId="0" xfId="0"/>
    <xf numFmtId="0" fontId="3" fillId="2" borderId="2" xfId="0" applyFont="1" applyFill="1" applyBorder="1"/>
    <xf numFmtId="0" fontId="3" fillId="2" borderId="6" xfId="0" applyFont="1" applyFill="1" applyBorder="1"/>
    <xf numFmtId="0" fontId="3" fillId="2" borderId="7" xfId="0" applyFont="1" applyFill="1" applyBorder="1"/>
    <xf numFmtId="0" fontId="3" fillId="2" borderId="3" xfId="0" applyFont="1" applyFill="1" applyBorder="1"/>
    <xf numFmtId="0" fontId="3" fillId="2" borderId="5" xfId="0" applyFont="1" applyFill="1" applyBorder="1"/>
    <xf numFmtId="0" fontId="3" fillId="2" borderId="4" xfId="0" applyFont="1" applyFill="1" applyBorder="1"/>
    <xf numFmtId="0" fontId="2" fillId="2" borderId="7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0" fillId="5" borderId="9" xfId="0" applyFill="1" applyBorder="1"/>
    <xf numFmtId="0" fontId="1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6" borderId="10" xfId="0" applyFont="1" applyFill="1" applyBorder="1" applyAlignment="1">
      <alignment horizontal="center"/>
    </xf>
    <xf numFmtId="0" fontId="1" fillId="6" borderId="11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0" fontId="8" fillId="0" borderId="0" xfId="0" applyFont="1" applyAlignment="1">
      <alignment horizontal="left" vertical="center" wrapText="1" indent="1" readingOrder="1"/>
    </xf>
    <xf numFmtId="0" fontId="7" fillId="0" borderId="0" xfId="0" applyFont="1" applyAlignment="1">
      <alignment horizontal="left" vertical="center" wrapText="1" indent="1" readingOrder="1"/>
    </xf>
    <xf numFmtId="9" fontId="7" fillId="0" borderId="0" xfId="0" applyNumberFormat="1" applyFont="1" applyAlignment="1">
      <alignment horizontal="left" vertical="center" wrapText="1" indent="1" readingOrder="1"/>
    </xf>
    <xf numFmtId="0" fontId="8" fillId="0" borderId="12" xfId="0" applyFont="1" applyBorder="1" applyAlignment="1">
      <alignment horizontal="left" vertical="center" wrapText="1" indent="1" readingOrder="1"/>
    </xf>
    <xf numFmtId="0" fontId="7" fillId="0" borderId="12" xfId="0" applyFont="1" applyBorder="1" applyAlignment="1">
      <alignment horizontal="left" vertical="center" wrapText="1" indent="1" readingOrder="1"/>
    </xf>
    <xf numFmtId="0" fontId="8" fillId="0" borderId="13" xfId="0" applyFont="1" applyBorder="1" applyAlignment="1">
      <alignment horizontal="left" vertical="center" wrapText="1" indent="1" readingOrder="1"/>
    </xf>
    <xf numFmtId="14" fontId="7" fillId="0" borderId="13" xfId="0" applyNumberFormat="1" applyFont="1" applyBorder="1" applyAlignment="1">
      <alignment horizontal="left" vertical="center" wrapText="1" indent="1" readingOrder="1"/>
    </xf>
    <xf numFmtId="0" fontId="7" fillId="0" borderId="13" xfId="0" applyFont="1" applyBorder="1" applyAlignment="1">
      <alignment horizontal="left" vertical="center" wrapText="1" indent="1" readingOrder="1"/>
    </xf>
    <xf numFmtId="0" fontId="8" fillId="0" borderId="15" xfId="0" applyFont="1" applyBorder="1" applyAlignment="1">
      <alignment horizontal="left" vertical="center" wrapText="1" indent="1" readingOrder="1"/>
    </xf>
    <xf numFmtId="0" fontId="7" fillId="0" borderId="16" xfId="0" applyFont="1" applyBorder="1" applyAlignment="1">
      <alignment horizontal="left" vertical="center" wrapText="1" indent="1" readingOrder="1"/>
    </xf>
    <xf numFmtId="0" fontId="7" fillId="0" borderId="14" xfId="0" applyFont="1" applyBorder="1" applyAlignment="1">
      <alignment horizontal="left" vertical="center" wrapText="1" indent="1" readingOrder="1"/>
    </xf>
    <xf numFmtId="14" fontId="7" fillId="0" borderId="14" xfId="0" applyNumberFormat="1" applyFont="1" applyBorder="1" applyAlignment="1">
      <alignment horizontal="left" vertical="center" wrapText="1" indent="1" readingOrder="1"/>
    </xf>
    <xf numFmtId="0" fontId="7" fillId="0" borderId="17" xfId="0" applyFont="1" applyBorder="1" applyAlignment="1">
      <alignment horizontal="left" vertical="center" wrapText="1" indent="1" readingOrder="1"/>
    </xf>
    <xf numFmtId="0" fontId="7" fillId="0" borderId="18" xfId="0" applyFont="1" applyBorder="1" applyAlignment="1">
      <alignment horizontal="left" vertical="center" wrapText="1" indent="1" readingOrder="1"/>
    </xf>
    <xf numFmtId="0" fontId="7" fillId="0" borderId="19" xfId="0" applyFont="1" applyBorder="1" applyAlignment="1">
      <alignment horizontal="left" vertical="center" wrapText="1" indent="1" readingOrder="1"/>
    </xf>
    <xf numFmtId="9" fontId="7" fillId="0" borderId="17" xfId="0" applyNumberFormat="1" applyFont="1" applyBorder="1" applyAlignment="1">
      <alignment horizontal="left" vertical="center" wrapText="1" indent="1" readingOrder="1"/>
    </xf>
    <xf numFmtId="0" fontId="7" fillId="0" borderId="21" xfId="0" applyFont="1" applyBorder="1" applyAlignment="1">
      <alignment horizontal="left" vertical="center" wrapText="1" indent="1" readingOrder="1"/>
    </xf>
    <xf numFmtId="0" fontId="7" fillId="0" borderId="22" xfId="0" applyFont="1" applyBorder="1" applyAlignment="1">
      <alignment horizontal="left" vertical="center" wrapText="1" indent="1" readingOrder="1"/>
    </xf>
    <xf numFmtId="0" fontId="8" fillId="0" borderId="20" xfId="0" applyFont="1" applyBorder="1" applyAlignment="1">
      <alignment horizontal="left" vertical="center" wrapText="1" indent="1" readingOrder="1"/>
    </xf>
    <xf numFmtId="9" fontId="7" fillId="0" borderId="18" xfId="0" applyNumberFormat="1" applyFont="1" applyBorder="1" applyAlignment="1">
      <alignment horizontal="left" vertical="center" wrapText="1" indent="1" readingOrder="1"/>
    </xf>
    <xf numFmtId="9" fontId="7" fillId="0" borderId="12" xfId="0" applyNumberFormat="1" applyFont="1" applyBorder="1" applyAlignment="1">
      <alignment horizontal="left" vertical="center" wrapText="1" indent="1" readingOrder="1"/>
    </xf>
    <xf numFmtId="0" fontId="12" fillId="3" borderId="2" xfId="0" applyFont="1" applyFill="1" applyBorder="1"/>
    <xf numFmtId="0" fontId="12" fillId="3" borderId="4" xfId="0" applyFont="1" applyFill="1" applyBorder="1"/>
    <xf numFmtId="17" fontId="0" fillId="5" borderId="9" xfId="0" quotePrefix="1" applyNumberFormat="1" applyFill="1" applyBorder="1" applyAlignment="1">
      <alignment horizontal="center" vertical="center"/>
    </xf>
    <xf numFmtId="0" fontId="0" fillId="9" borderId="0" xfId="0" applyFill="1"/>
    <xf numFmtId="0" fontId="0" fillId="9" borderId="24" xfId="0" applyFill="1" applyBorder="1"/>
    <xf numFmtId="0" fontId="3" fillId="7" borderId="2" xfId="0" applyFont="1" applyFill="1" applyBorder="1"/>
    <xf numFmtId="0" fontId="3" fillId="7" borderId="6" xfId="0" applyFont="1" applyFill="1" applyBorder="1"/>
    <xf numFmtId="0" fontId="3" fillId="7" borderId="0" xfId="0" applyFont="1" applyFill="1"/>
    <xf numFmtId="0" fontId="3" fillId="7" borderId="3" xfId="0" applyFont="1" applyFill="1" applyBorder="1"/>
    <xf numFmtId="0" fontId="0" fillId="7" borderId="0" xfId="0" applyFill="1"/>
    <xf numFmtId="0" fontId="11" fillId="7" borderId="2" xfId="0" applyFont="1" applyFill="1" applyBorder="1" applyAlignment="1">
      <alignment horizontal="center" vertical="center"/>
    </xf>
    <xf numFmtId="0" fontId="11" fillId="7" borderId="23" xfId="0" applyFont="1" applyFill="1" applyBorder="1" applyAlignment="1">
      <alignment horizontal="center" vertical="center"/>
    </xf>
    <xf numFmtId="0" fontId="3" fillId="5" borderId="2" xfId="0" applyFont="1" applyFill="1" applyBorder="1"/>
    <xf numFmtId="0" fontId="3" fillId="5" borderId="6" xfId="0" applyFont="1" applyFill="1" applyBorder="1"/>
    <xf numFmtId="0" fontId="0" fillId="5" borderId="0" xfId="0" applyFill="1"/>
    <xf numFmtId="0" fontId="6" fillId="9" borderId="0" xfId="0" applyFont="1" applyFill="1" applyAlignment="1">
      <alignment vertical="center"/>
    </xf>
    <xf numFmtId="0" fontId="9" fillId="9" borderId="0" xfId="0" applyFont="1" applyFill="1" applyAlignment="1">
      <alignment horizontal="left" vertical="center" wrapText="1" indent="1" readingOrder="1"/>
    </xf>
    <xf numFmtId="0" fontId="0" fillId="9" borderId="0" xfId="0" applyFill="1" applyAlignment="1">
      <alignment horizontal="center" vertical="center"/>
    </xf>
    <xf numFmtId="0" fontId="11" fillId="7" borderId="11" xfId="0" applyFont="1" applyFill="1" applyBorder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16" fontId="0" fillId="5" borderId="0" xfId="0" applyNumberFormat="1" applyFill="1" applyAlignment="1">
      <alignment horizontal="center"/>
    </xf>
    <xf numFmtId="0" fontId="15" fillId="9" borderId="0" xfId="0" applyFont="1" applyFill="1"/>
    <xf numFmtId="0" fontId="0" fillId="5" borderId="25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5" fillId="4" borderId="27" xfId="0" applyFont="1" applyFill="1" applyBorder="1" applyAlignment="1">
      <alignment horizontal="center" vertical="center" wrapText="1"/>
    </xf>
    <xf numFmtId="0" fontId="5" fillId="4" borderId="28" xfId="0" applyFont="1" applyFill="1" applyBorder="1" applyAlignment="1">
      <alignment horizontal="center" vertical="center" wrapText="1"/>
    </xf>
    <xf numFmtId="0" fontId="5" fillId="4" borderId="29" xfId="0" applyFont="1" applyFill="1" applyBorder="1" applyAlignment="1">
      <alignment horizontal="center" vertical="center" wrapText="1"/>
    </xf>
    <xf numFmtId="0" fontId="0" fillId="5" borderId="30" xfId="0" applyFill="1" applyBorder="1" applyAlignment="1">
      <alignment horizontal="center" vertical="center"/>
    </xf>
    <xf numFmtId="0" fontId="0" fillId="5" borderId="31" xfId="0" applyFill="1" applyBorder="1" applyAlignment="1">
      <alignment horizontal="center" vertical="center"/>
    </xf>
    <xf numFmtId="0" fontId="0" fillId="5" borderId="31" xfId="0" quotePrefix="1" applyFill="1" applyBorder="1" applyAlignment="1">
      <alignment horizontal="center" vertical="center"/>
    </xf>
    <xf numFmtId="0" fontId="0" fillId="5" borderId="32" xfId="0" applyFill="1" applyBorder="1" applyAlignment="1">
      <alignment horizontal="center" vertical="center"/>
    </xf>
    <xf numFmtId="0" fontId="0" fillId="5" borderId="26" xfId="0" applyFill="1" applyBorder="1"/>
    <xf numFmtId="0" fontId="5" fillId="4" borderId="28" xfId="0" applyFont="1" applyFill="1" applyBorder="1" applyAlignment="1">
      <alignment horizontal="center" vertical="top" wrapText="1"/>
    </xf>
    <xf numFmtId="0" fontId="5" fillId="4" borderId="29" xfId="0" applyFont="1" applyFill="1" applyBorder="1" applyAlignment="1">
      <alignment horizontal="center" vertical="top" wrapText="1"/>
    </xf>
    <xf numFmtId="0" fontId="0" fillId="5" borderId="31" xfId="0" applyFill="1" applyBorder="1"/>
    <xf numFmtId="0" fontId="0" fillId="5" borderId="32" xfId="0" applyFill="1" applyBorder="1"/>
    <xf numFmtId="0" fontId="13" fillId="4" borderId="27" xfId="0" applyFont="1" applyFill="1" applyBorder="1" applyAlignment="1">
      <alignment horizontal="center"/>
    </xf>
    <xf numFmtId="0" fontId="13" fillId="4" borderId="28" xfId="0" applyFont="1" applyFill="1" applyBorder="1" applyAlignment="1">
      <alignment horizontal="center"/>
    </xf>
    <xf numFmtId="0" fontId="13" fillId="4" borderId="29" xfId="0" applyFont="1" applyFill="1" applyBorder="1" applyAlignment="1">
      <alignment horizontal="center"/>
    </xf>
    <xf numFmtId="0" fontId="3" fillId="5" borderId="6" xfId="0" applyFont="1" applyFill="1" applyBorder="1" applyAlignment="1">
      <alignment horizontal="center"/>
    </xf>
    <xf numFmtId="0" fontId="3" fillId="5" borderId="10" xfId="0" applyFont="1" applyFill="1" applyBorder="1" applyAlignment="1">
      <alignment horizontal="center"/>
    </xf>
    <xf numFmtId="0" fontId="3" fillId="5" borderId="3" xfId="0" applyFont="1" applyFill="1" applyBorder="1" applyAlignment="1">
      <alignment horizontal="center"/>
    </xf>
    <xf numFmtId="0" fontId="3" fillId="5" borderId="1" xfId="0" applyFont="1" applyFill="1" applyBorder="1" applyAlignment="1">
      <alignment horizontal="center"/>
    </xf>
    <xf numFmtId="14" fontId="3" fillId="5" borderId="2" xfId="0" applyNumberFormat="1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7" borderId="3" xfId="0" applyFont="1" applyFill="1" applyBorder="1" applyAlignment="1">
      <alignment horizontal="center"/>
    </xf>
    <xf numFmtId="0" fontId="3" fillId="7" borderId="1" xfId="0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14" fontId="3" fillId="7" borderId="3" xfId="0" applyNumberFormat="1" applyFont="1" applyFill="1" applyBorder="1" applyAlignment="1">
      <alignment horizontal="center"/>
    </xf>
    <xf numFmtId="14" fontId="3" fillId="7" borderId="1" xfId="0" applyNumberFormat="1" applyFont="1" applyFill="1" applyBorder="1" applyAlignment="1">
      <alignment horizontal="center"/>
    </xf>
    <xf numFmtId="14" fontId="3" fillId="7" borderId="0" xfId="0" applyNumberFormat="1" applyFont="1" applyFill="1" applyAlignment="1">
      <alignment horizontal="center"/>
    </xf>
    <xf numFmtId="0" fontId="14" fillId="8" borderId="3" xfId="0" applyFont="1" applyFill="1" applyBorder="1" applyAlignment="1">
      <alignment horizontal="center" vertical="center"/>
    </xf>
    <xf numFmtId="0" fontId="14" fillId="8" borderId="8" xfId="0" applyFont="1" applyFill="1" applyBorder="1" applyAlignment="1">
      <alignment horizontal="center" vertical="center"/>
    </xf>
    <xf numFmtId="0" fontId="14" fillId="8" borderId="1" xfId="0" applyFont="1" applyFill="1" applyBorder="1" applyAlignment="1">
      <alignment horizontal="center" vertical="center"/>
    </xf>
    <xf numFmtId="14" fontId="3" fillId="2" borderId="3" xfId="0" applyNumberFormat="1" applyFont="1" applyFill="1" applyBorder="1" applyAlignment="1">
      <alignment horizontal="center"/>
    </xf>
    <xf numFmtId="14" fontId="3" fillId="2" borderId="1" xfId="0" applyNumberFormat="1" applyFont="1" applyFill="1" applyBorder="1" applyAlignment="1">
      <alignment horizontal="center"/>
    </xf>
    <xf numFmtId="0" fontId="12" fillId="3" borderId="3" xfId="0" applyFont="1" applyFill="1" applyBorder="1" applyAlignment="1">
      <alignment horizontal="center" vertical="center"/>
    </xf>
    <xf numFmtId="0" fontId="12" fillId="3" borderId="8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12" fillId="3" borderId="2" xfId="0" applyFont="1" applyFill="1" applyBorder="1" applyAlignment="1">
      <alignment horizontal="center"/>
    </xf>
    <xf numFmtId="0" fontId="12" fillId="3" borderId="3" xfId="0" applyFont="1" applyFill="1" applyBorder="1" applyAlignment="1">
      <alignment horizontal="center"/>
    </xf>
    <xf numFmtId="0" fontId="12" fillId="3" borderId="8" xfId="0" applyFont="1" applyFill="1" applyBorder="1" applyAlignment="1">
      <alignment horizontal="center"/>
    </xf>
    <xf numFmtId="0" fontId="12" fillId="3" borderId="1" xfId="0" applyFont="1" applyFill="1" applyBorder="1" applyAlignment="1">
      <alignment horizontal="center"/>
    </xf>
    <xf numFmtId="0" fontId="14" fillId="10" borderId="7" xfId="0" applyFont="1" applyFill="1" applyBorder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0" fontId="14" fillId="4" borderId="7" xfId="0" applyFont="1" applyFill="1" applyBorder="1" applyAlignment="1">
      <alignment horizontal="center" vertical="center"/>
    </xf>
    <xf numFmtId="0" fontId="14" fillId="4" borderId="0" xfId="0" applyFont="1" applyFill="1" applyAlignment="1">
      <alignment horizontal="center" vertical="center"/>
    </xf>
  </cellXfs>
  <cellStyles count="1">
    <cellStyle name="Normal" xfId="0" builtinId="0"/>
  </cellStyles>
  <dxfs count="107"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C3D0D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 patternType="solid">
          <fgColor indexed="64"/>
          <bgColor theme="6" tint="0.39997558519241921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3999755851924192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3999755851924192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3999755851924192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3999755851924192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3999755851924192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3999755851924192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3999755851924192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theme="6" tint="0.39997558519241921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1C3D0D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1C3D0D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1F1F"/>
        <name val="Arial"/>
        <family val="2"/>
        <scheme val="none"/>
      </font>
      <alignment horizontal="left" vertical="center" textRotation="0" wrapText="1" indent="1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1F1F"/>
        <name val="Arial"/>
        <family val="2"/>
        <scheme val="none"/>
      </font>
      <alignment horizontal="left" vertical="center" textRotation="0" wrapText="1" indent="1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1F1F"/>
        <name val="Arial"/>
        <family val="2"/>
        <scheme val="none"/>
      </font>
      <alignment horizontal="left" vertical="center" textRotation="0" wrapText="1" indent="1" justifyLastLine="0" shrinkToFit="0" readingOrder="1"/>
      <border diagonalUp="0" diagonalDown="0">
        <right style="thin">
          <color theme="1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1F1F"/>
        <name val="Arial"/>
        <family val="2"/>
        <scheme val="none"/>
      </font>
      <alignment horizontal="left" vertical="center" textRotation="0" wrapText="1" indent="1" justifyLastLine="0" shrinkToFit="0" readingOrder="1"/>
      <border diagonalUp="0" diagonalDown="0">
        <left style="thin">
          <color theme="1"/>
        </left>
        <right style="thin">
          <color theme="1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1F1F"/>
        <name val="Arial"/>
        <family val="2"/>
        <scheme val="none"/>
      </font>
      <numFmt numFmtId="13" formatCode="0%"/>
      <alignment horizontal="left" vertical="center" textRotation="0" wrapText="1" indent="1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1F1F"/>
        <name val="Arial"/>
        <family val="2"/>
        <scheme val="none"/>
      </font>
      <numFmt numFmtId="13" formatCode="0%"/>
      <alignment horizontal="left" vertical="center" textRotation="0" wrapText="1" indent="1" justifyLastLine="0" shrinkToFit="0" readingOrder="1"/>
      <border diagonalUp="0" diagonalDown="0">
        <left/>
        <right style="thin">
          <color theme="1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1F1F"/>
        <name val="Arial"/>
        <family val="2"/>
        <scheme val="none"/>
      </font>
      <numFmt numFmtId="13" formatCode="0%"/>
      <alignment horizontal="left" vertical="center" textRotation="0" wrapText="1" indent="1" justifyLastLine="0" shrinkToFit="0" readingOrder="1"/>
      <border diagonalUp="0" diagonalDown="0">
        <left/>
        <right style="thin">
          <color theme="1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1F1F"/>
        <name val="Arial"/>
        <family val="2"/>
        <scheme val="none"/>
      </font>
      <alignment horizontal="left" vertical="center" textRotation="0" wrapText="1" indent="1" justifyLastLine="0" shrinkToFit="0" readingOrder="1"/>
      <border diagonalUp="0" diagonalDown="0">
        <left style="thin">
          <color theme="1"/>
        </left>
        <right style="thin">
          <color theme="1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1F1F"/>
        <name val="Arial"/>
        <family val="2"/>
        <scheme val="none"/>
      </font>
      <alignment horizontal="left" vertical="center" textRotation="0" wrapText="1" indent="1" justifyLastLine="0" shrinkToFit="0" readingOrder="1"/>
    </dxf>
    <dxf>
      <border outline="0">
        <top style="medium">
          <color rgb="FF000000"/>
        </top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1F1F"/>
        <name val="Arial"/>
        <family val="2"/>
        <scheme val="none"/>
      </font>
      <alignment horizontal="left" vertical="center" textRotation="0" wrapText="1" indent="1" justifyLastLine="0" shrinkToFit="0" readingOrder="1"/>
    </dxf>
    <dxf>
      <border outline="0"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1F1F1F"/>
        <name val="Arial"/>
        <family val="2"/>
        <scheme val="none"/>
      </font>
      <alignment horizontal="left" vertical="center" textRotation="0" wrapText="1" indent="1" justifyLastLine="0" shrinkToFit="0" readingOrder="1"/>
      <border diagonalUp="0" diagonalDown="0" outline="0">
        <left style="medium">
          <color rgb="FF000000"/>
        </left>
        <right style="medium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1F1F"/>
        <name val="Arial"/>
        <family val="2"/>
        <scheme val="none"/>
      </font>
      <alignment horizontal="left" vertical="center" textRotation="0" wrapText="1" indent="1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1F1F"/>
        <name val="Arial"/>
        <family val="2"/>
        <scheme val="none"/>
      </font>
      <alignment horizontal="left" vertical="center" textRotation="0" wrapText="1" indent="1" justifyLastLine="0" shrinkToFit="0" readingOrder="1"/>
      <border diagonalUp="0" diagonalDown="0">
        <left/>
        <right style="thin">
          <color theme="1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1F1F"/>
        <name val="Arial"/>
        <family val="2"/>
        <scheme val="none"/>
      </font>
      <alignment horizontal="left" vertical="center" textRotation="0" wrapText="1" indent="1" justifyLastLine="0" shrinkToFit="0" readingOrder="1"/>
      <border diagonalUp="0" diagonalDown="0">
        <left style="thin">
          <color theme="1"/>
        </left>
        <right style="thin">
          <color theme="1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1F1F"/>
        <name val="Arial"/>
        <family val="2"/>
        <scheme val="none"/>
      </font>
      <alignment horizontal="left" vertical="center" textRotation="0" wrapText="1" indent="1" justifyLastLine="0" shrinkToFit="0" readingOrder="1"/>
      <border diagonalUp="0" diagonalDown="0">
        <left style="thin">
          <color theme="1"/>
        </left>
        <right style="thin">
          <color theme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1F1F"/>
        <name val="Arial"/>
        <family val="2"/>
        <scheme val="none"/>
      </font>
      <alignment horizontal="left" vertical="center" textRotation="0" wrapText="1" indent="1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1F1F"/>
        <name val="Arial"/>
        <family val="2"/>
        <scheme val="none"/>
      </font>
      <alignment horizontal="left" vertical="center" textRotation="0" wrapText="1" indent="1" justifyLastLine="0" shrinkToFit="0" readingOrder="1"/>
      <border diagonalUp="0" diagonalDown="0">
        <left style="thin">
          <color theme="1"/>
        </left>
        <right style="thin">
          <color theme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1F1F"/>
        <name val="Arial"/>
        <family val="2"/>
        <scheme val="none"/>
      </font>
      <numFmt numFmtId="19" formatCode="m/d/yyyy"/>
      <alignment horizontal="left" vertical="center" textRotation="0" wrapText="1" indent="1" justifyLastLine="0" shrinkToFit="0" readingOrder="1"/>
      <border diagonalUp="0" diagonalDown="0">
        <left style="thin">
          <color theme="1"/>
        </left>
        <right style="thin">
          <color theme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1F1F"/>
        <name val="Arial"/>
        <family val="2"/>
        <scheme val="none"/>
      </font>
      <alignment horizontal="left" vertical="center" textRotation="0" wrapText="1" indent="1" justifyLastLine="0" shrinkToFit="0" readingOrder="1"/>
      <border diagonalUp="0" diagonalDown="0">
        <left/>
        <right style="thin">
          <color theme="1"/>
        </right>
        <top/>
        <bottom/>
        <vertical/>
        <horizontal/>
      </border>
    </dxf>
    <dxf>
      <border outline="0">
        <top style="medium">
          <color rgb="FF000000"/>
        </top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1F1F"/>
        <name val="Arial"/>
        <family val="2"/>
        <scheme val="none"/>
      </font>
      <alignment horizontal="left" vertical="center" textRotation="0" wrapText="1" indent="1" justifyLastLine="0" shrinkToFit="0" readingOrder="1"/>
    </dxf>
    <dxf>
      <border outline="0"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1F1F1F"/>
        <name val="Arial"/>
        <family val="2"/>
        <scheme val="none"/>
      </font>
      <alignment horizontal="left" vertical="center" textRotation="0" wrapText="1" indent="1" justifyLastLine="0" shrinkToFit="0" readingOrder="1"/>
      <border diagonalUp="0" diagonalDown="0" outline="0">
        <left style="medium">
          <color rgb="FF000000"/>
        </left>
        <right style="medium">
          <color rgb="FF000000"/>
        </right>
        <top/>
        <bottom/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border>
        <top style="thin">
          <color theme="0"/>
        </top>
      </border>
    </dxf>
    <dxf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theme="5" tint="0.399975585192419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9" formatCode="m/d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colors>
    <mruColors>
      <color rgb="FFE86F24"/>
      <color rgb="FF1C3D0D"/>
      <color rgb="FFEE8732"/>
      <color rgb="FFF8A764"/>
      <color rgb="FFB8660C"/>
      <color rgb="FF000000"/>
      <color rgb="FF283214"/>
      <color rgb="FFF6C344"/>
      <color rgb="FFFF9900"/>
      <color rgb="FFF7994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powerPivotData" Target="model/item.data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/>
            </a:pPr>
            <a:r>
              <a:rPr lang="en-US"/>
              <a:t>Kemenangan Per Tim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Dashboard!$B$27:$B$34</c:f>
              <c:strCache>
                <c:ptCount val="8"/>
                <c:pt idx="0">
                  <c:v>SADA</c:v>
                </c:pt>
                <c:pt idx="1">
                  <c:v>FIS</c:v>
                </c:pt>
                <c:pt idx="2">
                  <c:v>KA</c:v>
                </c:pt>
                <c:pt idx="3">
                  <c:v>KIM</c:v>
                </c:pt>
                <c:pt idx="4">
                  <c:v>IPA</c:v>
                </c:pt>
                <c:pt idx="5">
                  <c:v>MAT</c:v>
                </c:pt>
                <c:pt idx="6">
                  <c:v>BIO</c:v>
                </c:pt>
                <c:pt idx="7">
                  <c:v>P.BIO</c:v>
                </c:pt>
              </c:strCache>
            </c:strRef>
          </c:cat>
          <c:val>
            <c:numRef>
              <c:f>Dashboard!$C$27:$C$34</c:f>
              <c:numCache>
                <c:formatCode>General</c:formatCode>
                <c:ptCount val="8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22-47B9-9F2C-EED58A1DD4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9617967"/>
        <c:axId val="509621807"/>
      </c:barChart>
      <c:catAx>
        <c:axId val="50961796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09621807"/>
        <c:crosses val="autoZero"/>
        <c:auto val="1"/>
        <c:lblAlgn val="ctr"/>
        <c:lblOffset val="100"/>
        <c:noMultiLvlLbl val="0"/>
      </c:catAx>
      <c:valAx>
        <c:axId val="50962180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0961796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Basket!A1"/><Relationship Id="rId2" Type="http://schemas.openxmlformats.org/officeDocument/2006/relationships/hyperlink" Target="#'Sepak Bola'!A1"/><Relationship Id="rId1" Type="http://schemas.openxmlformats.org/officeDocument/2006/relationships/hyperlink" Target="#Voli!A1"/><Relationship Id="rId5" Type="http://schemas.openxmlformats.org/officeDocument/2006/relationships/chart" Target="../charts/chart1.xml"/><Relationship Id="rId4" Type="http://schemas.openxmlformats.org/officeDocument/2006/relationships/hyperlink" Target="#Dashboard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Basket!A1"/><Relationship Id="rId2" Type="http://schemas.openxmlformats.org/officeDocument/2006/relationships/hyperlink" Target="#'Sepak Bola'!A1"/><Relationship Id="rId1" Type="http://schemas.openxmlformats.org/officeDocument/2006/relationships/hyperlink" Target="#Voli!A1"/><Relationship Id="rId4" Type="http://schemas.openxmlformats.org/officeDocument/2006/relationships/hyperlink" Target="#Dashboard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Basket!A1"/><Relationship Id="rId2" Type="http://schemas.openxmlformats.org/officeDocument/2006/relationships/hyperlink" Target="#'Sepak Bola'!A1"/><Relationship Id="rId1" Type="http://schemas.openxmlformats.org/officeDocument/2006/relationships/hyperlink" Target="#Voli!A1"/><Relationship Id="rId4" Type="http://schemas.openxmlformats.org/officeDocument/2006/relationships/hyperlink" Target="#Dashboard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Basket!A1"/><Relationship Id="rId2" Type="http://schemas.openxmlformats.org/officeDocument/2006/relationships/hyperlink" Target="#'Sepak Bola'!A1"/><Relationship Id="rId1" Type="http://schemas.openxmlformats.org/officeDocument/2006/relationships/hyperlink" Target="#Voli!A1"/><Relationship Id="rId4" Type="http://schemas.openxmlformats.org/officeDocument/2006/relationships/hyperlink" Target="#Dashboard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0</xdr:rowOff>
    </xdr:from>
    <xdr:to>
      <xdr:col>0</xdr:col>
      <xdr:colOff>2400299</xdr:colOff>
      <xdr:row>68</xdr:row>
      <xdr:rowOff>190500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DD18F99-C61E-47F1-9436-8EF73F6546D2}"/>
            </a:ext>
          </a:extLst>
        </xdr:cNvPr>
        <xdr:cNvSpPr/>
      </xdr:nvSpPr>
      <xdr:spPr>
        <a:xfrm>
          <a:off x="19050" y="0"/>
          <a:ext cx="2381249" cy="14328321"/>
        </a:xfrm>
        <a:prstGeom prst="roundRect">
          <a:avLst>
            <a:gd name="adj" fmla="val 0"/>
          </a:avLst>
        </a:prstGeom>
        <a:solidFill>
          <a:srgbClr val="020B24"/>
        </a:solidFill>
        <a:ln>
          <a:solidFill>
            <a:srgbClr val="020B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271462</xdr:colOff>
      <xdr:row>2</xdr:row>
      <xdr:rowOff>104775</xdr:rowOff>
    </xdr:from>
    <xdr:to>
      <xdr:col>0</xdr:col>
      <xdr:colOff>2119312</xdr:colOff>
      <xdr:row>7</xdr:row>
      <xdr:rowOff>152400</xdr:rowOff>
    </xdr:to>
    <xdr:sp macro="" textlink="">
      <xdr:nvSpPr>
        <xdr:cNvPr id="3" name="Flowchart: Alternate Proces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945F5F6-D306-4229-AB3A-1B9AAAEF97DD}"/>
            </a:ext>
          </a:extLst>
        </xdr:cNvPr>
        <xdr:cNvSpPr/>
      </xdr:nvSpPr>
      <xdr:spPr>
        <a:xfrm>
          <a:off x="271462" y="485775"/>
          <a:ext cx="1847850" cy="1000125"/>
        </a:xfrm>
        <a:prstGeom prst="flowChartAlternateProcess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solidFill>
                <a:srgbClr val="020B24"/>
              </a:solidFill>
              <a:latin typeface="Bahnschrift" panose="020B0502040204020203" pitchFamily="34" charset="0"/>
            </a:rPr>
            <a:t>Voli</a:t>
          </a:r>
        </a:p>
      </xdr:txBody>
    </xdr:sp>
    <xdr:clientData/>
  </xdr:twoCellAnchor>
  <xdr:twoCellAnchor>
    <xdr:from>
      <xdr:col>0</xdr:col>
      <xdr:colOff>271462</xdr:colOff>
      <xdr:row>15</xdr:row>
      <xdr:rowOff>0</xdr:rowOff>
    </xdr:from>
    <xdr:to>
      <xdr:col>0</xdr:col>
      <xdr:colOff>2119312</xdr:colOff>
      <xdr:row>20</xdr:row>
      <xdr:rowOff>47625</xdr:rowOff>
    </xdr:to>
    <xdr:sp macro="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A641C3-0E13-415B-9594-D20CC11A2705}"/>
            </a:ext>
          </a:extLst>
        </xdr:cNvPr>
        <xdr:cNvSpPr/>
      </xdr:nvSpPr>
      <xdr:spPr>
        <a:xfrm>
          <a:off x="271462" y="2857500"/>
          <a:ext cx="1847850" cy="1000125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solidFill>
                <a:srgbClr val="020B24"/>
              </a:solidFill>
              <a:latin typeface="Bahnschrift" panose="020B0502040204020203" pitchFamily="34" charset="0"/>
            </a:rPr>
            <a:t>Sepak</a:t>
          </a:r>
          <a:r>
            <a:rPr lang="en-GB" sz="2400" b="1" baseline="0">
              <a:solidFill>
                <a:srgbClr val="020B24"/>
              </a:solidFill>
              <a:latin typeface="Bahnschrift" panose="020B0502040204020203" pitchFamily="34" charset="0"/>
            </a:rPr>
            <a:t> Bola</a:t>
          </a:r>
          <a:endParaRPr lang="en-GB" sz="2400" b="1">
            <a:solidFill>
              <a:srgbClr val="020B24"/>
            </a:solidFill>
            <a:latin typeface="Bahnschrift" panose="020B0502040204020203" pitchFamily="34" charset="0"/>
          </a:endParaRPr>
        </a:p>
      </xdr:txBody>
    </xdr:sp>
    <xdr:clientData/>
  </xdr:twoCellAnchor>
  <xdr:twoCellAnchor>
    <xdr:from>
      <xdr:col>0</xdr:col>
      <xdr:colOff>271462</xdr:colOff>
      <xdr:row>8</xdr:row>
      <xdr:rowOff>142875</xdr:rowOff>
    </xdr:from>
    <xdr:to>
      <xdr:col>0</xdr:col>
      <xdr:colOff>2119312</xdr:colOff>
      <xdr:row>14</xdr:row>
      <xdr:rowOff>0</xdr:rowOff>
    </xdr:to>
    <xdr:sp macro="" textlink="">
      <xdr:nvSpPr>
        <xdr:cNvPr id="5" name="Flowchart: Alternate Proces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C55CF5F-1B16-411B-9E1B-9B1A642F4610}"/>
            </a:ext>
          </a:extLst>
        </xdr:cNvPr>
        <xdr:cNvSpPr/>
      </xdr:nvSpPr>
      <xdr:spPr>
        <a:xfrm>
          <a:off x="271462" y="1666875"/>
          <a:ext cx="1847850" cy="1000125"/>
        </a:xfrm>
        <a:prstGeom prst="flowChartAlternateProcess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solidFill>
                <a:srgbClr val="020B24"/>
              </a:solidFill>
              <a:latin typeface="Bahnschrift" panose="020B0502040204020203" pitchFamily="34" charset="0"/>
            </a:rPr>
            <a:t>Basket</a:t>
          </a:r>
        </a:p>
      </xdr:txBody>
    </xdr:sp>
    <xdr:clientData/>
  </xdr:twoCellAnchor>
  <xdr:twoCellAnchor>
    <xdr:from>
      <xdr:col>1</xdr:col>
      <xdr:colOff>152400</xdr:colOff>
      <xdr:row>0</xdr:row>
      <xdr:rowOff>1590</xdr:rowOff>
    </xdr:from>
    <xdr:to>
      <xdr:col>17</xdr:col>
      <xdr:colOff>504825</xdr:colOff>
      <xdr:row>14</xdr:row>
      <xdr:rowOff>41835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7C8B903C-8BF9-4898-8F68-9C4E54999A1A}"/>
            </a:ext>
          </a:extLst>
        </xdr:cNvPr>
        <xdr:cNvSpPr/>
      </xdr:nvSpPr>
      <xdr:spPr>
        <a:xfrm>
          <a:off x="2569369" y="1590"/>
          <a:ext cx="12627769" cy="2707245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476250</xdr:colOff>
      <xdr:row>1</xdr:row>
      <xdr:rowOff>104774</xdr:rowOff>
    </xdr:from>
    <xdr:to>
      <xdr:col>17</xdr:col>
      <xdr:colOff>38099</xdr:colOff>
      <xdr:row>13</xdr:row>
      <xdr:rowOff>104775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B62D7547-BE36-49E8-B51C-6DBDA389F8BF}"/>
            </a:ext>
          </a:extLst>
        </xdr:cNvPr>
        <xdr:cNvSpPr/>
      </xdr:nvSpPr>
      <xdr:spPr>
        <a:xfrm>
          <a:off x="2895600" y="295274"/>
          <a:ext cx="9315449" cy="2286001"/>
        </a:xfrm>
        <a:prstGeom prst="roundRect">
          <a:avLst>
            <a:gd name="adj" fmla="val 7855"/>
          </a:avLst>
        </a:prstGeom>
        <a:solidFill>
          <a:srgbClr val="020B24"/>
        </a:solidFill>
        <a:ln>
          <a:solidFill>
            <a:srgbClr val="020B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5400">
              <a:solidFill>
                <a:schemeClr val="bg1"/>
              </a:solidFill>
              <a:latin typeface="Bernard MT Condensed" panose="02050806060905020404" pitchFamily="18" charset="0"/>
            </a:rPr>
            <a:t>Statistik</a:t>
          </a:r>
          <a:r>
            <a:rPr lang="en-GB" sz="5400" baseline="0">
              <a:solidFill>
                <a:schemeClr val="bg1"/>
              </a:solidFill>
              <a:latin typeface="Bernard MT Condensed" panose="02050806060905020404" pitchFamily="18" charset="0"/>
            </a:rPr>
            <a:t> Pertandingan Olahraga</a:t>
          </a:r>
          <a:endParaRPr lang="en-GB" sz="5400">
            <a:solidFill>
              <a:schemeClr val="bg1"/>
            </a:solidFill>
            <a:latin typeface="Bernard MT Condensed" panose="02050806060905020404" pitchFamily="18" charset="0"/>
          </a:endParaRPr>
        </a:p>
      </xdr:txBody>
    </xdr:sp>
    <xdr:clientData/>
  </xdr:twoCellAnchor>
  <xdr:twoCellAnchor>
    <xdr:from>
      <xdr:col>0</xdr:col>
      <xdr:colOff>266700</xdr:colOff>
      <xdr:row>21</xdr:row>
      <xdr:rowOff>104775</xdr:rowOff>
    </xdr:from>
    <xdr:to>
      <xdr:col>0</xdr:col>
      <xdr:colOff>2114550</xdr:colOff>
      <xdr:row>26</xdr:row>
      <xdr:rowOff>152400</xdr:rowOff>
    </xdr:to>
    <xdr:sp macro="" textlink="">
      <xdr:nvSpPr>
        <xdr:cNvPr id="8" name="Rectangle: Rounded Corners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012180E-E67A-416D-AC3A-7987B41DE8F7}"/>
            </a:ext>
          </a:extLst>
        </xdr:cNvPr>
        <xdr:cNvSpPr/>
      </xdr:nvSpPr>
      <xdr:spPr>
        <a:xfrm>
          <a:off x="266700" y="4105275"/>
          <a:ext cx="1847850" cy="1000125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solidFill>
                <a:srgbClr val="020B24"/>
              </a:solidFill>
              <a:latin typeface="Bahnschrift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4</xdr:col>
      <xdr:colOff>160020</xdr:colOff>
      <xdr:row>16</xdr:row>
      <xdr:rowOff>114300</xdr:rowOff>
    </xdr:from>
    <xdr:to>
      <xdr:col>4</xdr:col>
      <xdr:colOff>1021080</xdr:colOff>
      <xdr:row>16</xdr:row>
      <xdr:rowOff>381000</xdr:rowOff>
    </xdr:to>
    <xdr:sp macro="[0]!RefreshDashboard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A2806AFD-7958-4FF3-B163-121365A72DC9}"/>
            </a:ext>
          </a:extLst>
        </xdr:cNvPr>
        <xdr:cNvSpPr/>
      </xdr:nvSpPr>
      <xdr:spPr>
        <a:xfrm>
          <a:off x="4785360" y="114300"/>
          <a:ext cx="861060" cy="266700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D" sz="1100"/>
            <a:t>Refresh</a:t>
          </a:r>
        </a:p>
      </xdr:txBody>
    </xdr:sp>
    <xdr:clientData/>
  </xdr:twoCellAnchor>
  <xdr:twoCellAnchor>
    <xdr:from>
      <xdr:col>5</xdr:col>
      <xdr:colOff>0</xdr:colOff>
      <xdr:row>19</xdr:row>
      <xdr:rowOff>0</xdr:rowOff>
    </xdr:from>
    <xdr:to>
      <xdr:col>10</xdr:col>
      <xdr:colOff>0</xdr:colOff>
      <xdr:row>32</xdr:row>
      <xdr:rowOff>0</xdr:rowOff>
    </xdr:to>
    <xdr:graphicFrame macro="">
      <xdr:nvGraphicFramePr>
        <xdr:cNvPr id="10" name="GrafikKemenangan">
          <a:extLst>
            <a:ext uri="{FF2B5EF4-FFF2-40B4-BE49-F238E27FC236}">
              <a16:creationId xmlns:a16="http://schemas.microsoft.com/office/drawing/2014/main" id="{83DBD3BD-A2DC-5679-5C1D-CCF8451C22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13317</xdr:colOff>
      <xdr:row>0</xdr:row>
      <xdr:rowOff>16670</xdr:rowOff>
    </xdr:from>
    <xdr:to>
      <xdr:col>14</xdr:col>
      <xdr:colOff>32613</xdr:colOff>
      <xdr:row>5</xdr:row>
      <xdr:rowOff>178594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3B040DCF-8B50-4F25-9FEB-1F26C9F95A21}"/>
            </a:ext>
          </a:extLst>
        </xdr:cNvPr>
        <xdr:cNvSpPr/>
      </xdr:nvSpPr>
      <xdr:spPr>
        <a:xfrm>
          <a:off x="2430286" y="16670"/>
          <a:ext cx="12639921" cy="1114424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>
          <a:solidFill>
            <a:srgbClr val="020B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800" b="1">
              <a:solidFill>
                <a:schemeClr val="tx1"/>
              </a:solidFill>
              <a:latin typeface="Castellar" panose="020A0402060406010301" pitchFamily="18" charset="0"/>
            </a:rPr>
            <a:t>Voli</a:t>
          </a:r>
        </a:p>
      </xdr:txBody>
    </xdr:sp>
    <xdr:clientData/>
  </xdr:twoCellAnchor>
  <xdr:twoCellAnchor>
    <xdr:from>
      <xdr:col>1</xdr:col>
      <xdr:colOff>46504</xdr:colOff>
      <xdr:row>7</xdr:row>
      <xdr:rowOff>108697</xdr:rowOff>
    </xdr:from>
    <xdr:to>
      <xdr:col>6</xdr:col>
      <xdr:colOff>559173</xdr:colOff>
      <xdr:row>10</xdr:row>
      <xdr:rowOff>108697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9124C189-06C9-40E4-8061-4295782AE772}"/>
            </a:ext>
          </a:extLst>
        </xdr:cNvPr>
        <xdr:cNvSpPr/>
      </xdr:nvSpPr>
      <xdr:spPr>
        <a:xfrm>
          <a:off x="2538692" y="1363756"/>
          <a:ext cx="5981140" cy="537882"/>
        </a:xfrm>
        <a:prstGeom prst="rect">
          <a:avLst/>
        </a:prstGeom>
        <a:solidFill>
          <a:schemeClr val="bg1"/>
        </a:solidFill>
        <a:ln>
          <a:solidFill>
            <a:srgbClr val="020B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800" b="1">
              <a:solidFill>
                <a:schemeClr val="tx1"/>
              </a:solidFill>
              <a:latin typeface="Castellar" panose="020A0402060406010301" pitchFamily="18" charset="0"/>
            </a:rPr>
            <a:t>data</a:t>
          </a:r>
          <a:r>
            <a:rPr lang="en-GB" sz="2800" b="1" baseline="0">
              <a:solidFill>
                <a:schemeClr val="tx1"/>
              </a:solidFill>
              <a:latin typeface="Castellar" panose="020A0402060406010301" pitchFamily="18" charset="0"/>
            </a:rPr>
            <a:t> pertandingan</a:t>
          </a:r>
          <a:endParaRPr lang="en-GB" sz="2800" b="1">
            <a:solidFill>
              <a:schemeClr val="tx1"/>
            </a:solidFill>
            <a:latin typeface="Castellar" panose="020A0402060406010301" pitchFamily="18" charset="0"/>
          </a:endParaRPr>
        </a:p>
      </xdr:txBody>
    </xdr:sp>
    <xdr:clientData/>
  </xdr:twoCellAnchor>
  <xdr:twoCellAnchor>
    <xdr:from>
      <xdr:col>1</xdr:col>
      <xdr:colOff>11301</xdr:colOff>
      <xdr:row>23</xdr:row>
      <xdr:rowOff>174800</xdr:rowOff>
    </xdr:from>
    <xdr:to>
      <xdr:col>6</xdr:col>
      <xdr:colOff>497076</xdr:colOff>
      <xdr:row>26</xdr:row>
      <xdr:rowOff>174800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0D892A64-247D-4773-8DEF-20DE9C512175}"/>
            </a:ext>
          </a:extLst>
        </xdr:cNvPr>
        <xdr:cNvSpPr/>
      </xdr:nvSpPr>
      <xdr:spPr>
        <a:xfrm>
          <a:off x="2503489" y="4298565"/>
          <a:ext cx="5954246" cy="537882"/>
        </a:xfrm>
        <a:prstGeom prst="rect">
          <a:avLst/>
        </a:prstGeom>
        <a:solidFill>
          <a:schemeClr val="bg1"/>
        </a:solidFill>
        <a:ln>
          <a:solidFill>
            <a:srgbClr val="020B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800" b="1">
              <a:solidFill>
                <a:schemeClr val="tx1"/>
              </a:solidFill>
              <a:latin typeface="Castellar" panose="020A0402060406010301" pitchFamily="18" charset="0"/>
            </a:rPr>
            <a:t>detail</a:t>
          </a:r>
          <a:r>
            <a:rPr lang="en-GB" sz="2800" b="1" baseline="0">
              <a:solidFill>
                <a:schemeClr val="tx1"/>
              </a:solidFill>
              <a:latin typeface="Castellar" panose="020A0402060406010301" pitchFamily="18" charset="0"/>
            </a:rPr>
            <a:t> set</a:t>
          </a:r>
          <a:endParaRPr lang="en-GB" sz="2800" b="1">
            <a:solidFill>
              <a:schemeClr val="tx1"/>
            </a:solidFill>
            <a:latin typeface="Castellar" panose="020A0402060406010301" pitchFamily="18" charset="0"/>
          </a:endParaRPr>
        </a:p>
      </xdr:txBody>
    </xdr:sp>
    <xdr:clientData/>
  </xdr:twoCellAnchor>
  <xdr:twoCellAnchor>
    <xdr:from>
      <xdr:col>1</xdr:col>
      <xdr:colOff>40925</xdr:colOff>
      <xdr:row>38</xdr:row>
      <xdr:rowOff>7368</xdr:rowOff>
    </xdr:from>
    <xdr:to>
      <xdr:col>6</xdr:col>
      <xdr:colOff>533995</xdr:colOff>
      <xdr:row>41</xdr:row>
      <xdr:rowOff>7367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52EA5AA4-8F90-46CF-8373-7AE98283CBA3}"/>
            </a:ext>
          </a:extLst>
        </xdr:cNvPr>
        <xdr:cNvSpPr/>
      </xdr:nvSpPr>
      <xdr:spPr>
        <a:xfrm>
          <a:off x="2533113" y="6820544"/>
          <a:ext cx="5961541" cy="537882"/>
        </a:xfrm>
        <a:prstGeom prst="rect">
          <a:avLst/>
        </a:prstGeom>
        <a:solidFill>
          <a:schemeClr val="bg1"/>
        </a:solidFill>
        <a:ln>
          <a:solidFill>
            <a:srgbClr val="020B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800" b="1">
              <a:solidFill>
                <a:schemeClr val="tx1"/>
              </a:solidFill>
              <a:latin typeface="Castellar" panose="020A0402060406010301" pitchFamily="18" charset="0"/>
            </a:rPr>
            <a:t>statistik</a:t>
          </a:r>
          <a:r>
            <a:rPr lang="en-GB" sz="2800" b="1" baseline="0">
              <a:solidFill>
                <a:schemeClr val="tx1"/>
              </a:solidFill>
              <a:latin typeface="Castellar" panose="020A0402060406010301" pitchFamily="18" charset="0"/>
            </a:rPr>
            <a:t> tim</a:t>
          </a:r>
          <a:endParaRPr lang="en-GB" sz="2800" b="1">
            <a:solidFill>
              <a:schemeClr val="tx1"/>
            </a:solidFill>
            <a:latin typeface="Castellar" panose="020A0402060406010301" pitchFamily="18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2381249</xdr:colOff>
      <xdr:row>50</xdr:row>
      <xdr:rowOff>171450</xdr:rowOff>
    </xdr:to>
    <xdr:sp macro="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8B518100-F785-4CDD-9946-98371CA1A72B}"/>
            </a:ext>
          </a:extLst>
        </xdr:cNvPr>
        <xdr:cNvSpPr/>
      </xdr:nvSpPr>
      <xdr:spPr>
        <a:xfrm>
          <a:off x="0" y="0"/>
          <a:ext cx="2381249" cy="9696450"/>
        </a:xfrm>
        <a:prstGeom prst="roundRect">
          <a:avLst>
            <a:gd name="adj" fmla="val 0"/>
          </a:avLst>
        </a:prstGeom>
        <a:solidFill>
          <a:srgbClr val="020B24"/>
        </a:solidFill>
        <a:ln>
          <a:solidFill>
            <a:srgbClr val="020B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252412</xdr:colOff>
      <xdr:row>2</xdr:row>
      <xdr:rowOff>104775</xdr:rowOff>
    </xdr:from>
    <xdr:to>
      <xdr:col>0</xdr:col>
      <xdr:colOff>2100262</xdr:colOff>
      <xdr:row>7</xdr:row>
      <xdr:rowOff>152400</xdr:rowOff>
    </xdr:to>
    <xdr:sp macro="" textlink="">
      <xdr:nvSpPr>
        <xdr:cNvPr id="21" name="Flowchart: Alternate Process 2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43D7022-14B9-4CBE-BE1F-8EC3BD525112}"/>
            </a:ext>
          </a:extLst>
        </xdr:cNvPr>
        <xdr:cNvSpPr/>
      </xdr:nvSpPr>
      <xdr:spPr>
        <a:xfrm>
          <a:off x="252412" y="485775"/>
          <a:ext cx="1847850" cy="1000125"/>
        </a:xfrm>
        <a:prstGeom prst="flowChartAlternateProcess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solidFill>
                <a:srgbClr val="020B24"/>
              </a:solidFill>
              <a:latin typeface="Bahnschrift" panose="020B0502040204020203" pitchFamily="34" charset="0"/>
            </a:rPr>
            <a:t>Voli</a:t>
          </a:r>
        </a:p>
      </xdr:txBody>
    </xdr:sp>
    <xdr:clientData/>
  </xdr:twoCellAnchor>
  <xdr:twoCellAnchor>
    <xdr:from>
      <xdr:col>0</xdr:col>
      <xdr:colOff>252412</xdr:colOff>
      <xdr:row>15</xdr:row>
      <xdr:rowOff>0</xdr:rowOff>
    </xdr:from>
    <xdr:to>
      <xdr:col>0</xdr:col>
      <xdr:colOff>2100262</xdr:colOff>
      <xdr:row>20</xdr:row>
      <xdr:rowOff>47625</xdr:rowOff>
    </xdr:to>
    <xdr:sp macro="" textlink="">
      <xdr:nvSpPr>
        <xdr:cNvPr id="22" name="Rectangle: Rounded Corners 2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D6F4590-6040-4D70-ADE5-F452F51C1A99}"/>
            </a:ext>
          </a:extLst>
        </xdr:cNvPr>
        <xdr:cNvSpPr/>
      </xdr:nvSpPr>
      <xdr:spPr>
        <a:xfrm>
          <a:off x="252412" y="2857500"/>
          <a:ext cx="1847850" cy="1000125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solidFill>
                <a:srgbClr val="020B24"/>
              </a:solidFill>
              <a:latin typeface="Bahnschrift" panose="020B0502040204020203" pitchFamily="34" charset="0"/>
            </a:rPr>
            <a:t>Sepak</a:t>
          </a:r>
          <a:r>
            <a:rPr lang="en-GB" sz="2400" b="1" baseline="0">
              <a:solidFill>
                <a:srgbClr val="020B24"/>
              </a:solidFill>
              <a:latin typeface="Bahnschrift" panose="020B0502040204020203" pitchFamily="34" charset="0"/>
            </a:rPr>
            <a:t> Bola</a:t>
          </a:r>
          <a:endParaRPr lang="en-GB" sz="2400" b="1">
            <a:solidFill>
              <a:srgbClr val="020B24"/>
            </a:solidFill>
            <a:latin typeface="Bahnschrift" panose="020B0502040204020203" pitchFamily="34" charset="0"/>
          </a:endParaRPr>
        </a:p>
      </xdr:txBody>
    </xdr:sp>
    <xdr:clientData/>
  </xdr:twoCellAnchor>
  <xdr:twoCellAnchor>
    <xdr:from>
      <xdr:col>0</xdr:col>
      <xdr:colOff>252412</xdr:colOff>
      <xdr:row>8</xdr:row>
      <xdr:rowOff>142875</xdr:rowOff>
    </xdr:from>
    <xdr:to>
      <xdr:col>0</xdr:col>
      <xdr:colOff>2100262</xdr:colOff>
      <xdr:row>14</xdr:row>
      <xdr:rowOff>0</xdr:rowOff>
    </xdr:to>
    <xdr:sp macro="" textlink="">
      <xdr:nvSpPr>
        <xdr:cNvPr id="23" name="Flowchart: Alternate Process 2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6417CE9-5E3F-4440-B80B-46286A987725}"/>
            </a:ext>
          </a:extLst>
        </xdr:cNvPr>
        <xdr:cNvSpPr/>
      </xdr:nvSpPr>
      <xdr:spPr>
        <a:xfrm>
          <a:off x="252412" y="1666875"/>
          <a:ext cx="1847850" cy="1000125"/>
        </a:xfrm>
        <a:prstGeom prst="flowChartAlternateProcess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solidFill>
                <a:srgbClr val="020B24"/>
              </a:solidFill>
              <a:latin typeface="Bahnschrift" panose="020B0502040204020203" pitchFamily="34" charset="0"/>
            </a:rPr>
            <a:t>Basket</a:t>
          </a:r>
        </a:p>
      </xdr:txBody>
    </xdr:sp>
    <xdr:clientData/>
  </xdr:twoCellAnchor>
  <xdr:twoCellAnchor>
    <xdr:from>
      <xdr:col>0</xdr:col>
      <xdr:colOff>247650</xdr:colOff>
      <xdr:row>21</xdr:row>
      <xdr:rowOff>104775</xdr:rowOff>
    </xdr:from>
    <xdr:to>
      <xdr:col>0</xdr:col>
      <xdr:colOff>2095500</xdr:colOff>
      <xdr:row>26</xdr:row>
      <xdr:rowOff>152400</xdr:rowOff>
    </xdr:to>
    <xdr:sp macro="" textlink="">
      <xdr:nvSpPr>
        <xdr:cNvPr id="24" name="Rectangle: Rounded Corners 2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ED4C35E-F703-4502-A315-1414CEE1B395}"/>
            </a:ext>
          </a:extLst>
        </xdr:cNvPr>
        <xdr:cNvSpPr/>
      </xdr:nvSpPr>
      <xdr:spPr>
        <a:xfrm>
          <a:off x="247650" y="4105275"/>
          <a:ext cx="1847850" cy="1000125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solidFill>
                <a:srgbClr val="020B24"/>
              </a:solidFill>
              <a:latin typeface="Bahnschrift" panose="020B0502040204020203" pitchFamily="34" charset="0"/>
            </a:rPr>
            <a:t>Dashboard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22679</xdr:colOff>
      <xdr:row>0</xdr:row>
      <xdr:rowOff>13128</xdr:rowOff>
    </xdr:from>
    <xdr:to>
      <xdr:col>14</xdr:col>
      <xdr:colOff>589643</xdr:colOff>
      <xdr:row>5</xdr:row>
      <xdr:rowOff>170167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5D788624-7090-46F2-A314-814AA855581D}"/>
            </a:ext>
          </a:extLst>
        </xdr:cNvPr>
        <xdr:cNvSpPr/>
      </xdr:nvSpPr>
      <xdr:spPr>
        <a:xfrm>
          <a:off x="2439648" y="13128"/>
          <a:ext cx="16449901" cy="1109539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>
          <a:solidFill>
            <a:srgbClr val="020B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800" b="1">
              <a:solidFill>
                <a:schemeClr val="tx1"/>
              </a:solidFill>
              <a:latin typeface="Castellar" panose="020A0402060406010301" pitchFamily="18" charset="0"/>
            </a:rPr>
            <a:t>Basket</a:t>
          </a:r>
        </a:p>
      </xdr:txBody>
    </xdr:sp>
    <xdr:clientData/>
  </xdr:twoCellAnchor>
  <xdr:twoCellAnchor>
    <xdr:from>
      <xdr:col>2</xdr:col>
      <xdr:colOff>26550</xdr:colOff>
      <xdr:row>7</xdr:row>
      <xdr:rowOff>167629</xdr:rowOff>
    </xdr:from>
    <xdr:to>
      <xdr:col>13</xdr:col>
      <xdr:colOff>89646</xdr:colOff>
      <xdr:row>9</xdr:row>
      <xdr:rowOff>134470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8C7EED40-B9E0-487D-B607-2BA4F6105AE7}"/>
            </a:ext>
          </a:extLst>
        </xdr:cNvPr>
        <xdr:cNvSpPr/>
      </xdr:nvSpPr>
      <xdr:spPr>
        <a:xfrm>
          <a:off x="3052138" y="1501129"/>
          <a:ext cx="7795155" cy="616782"/>
        </a:xfrm>
        <a:prstGeom prst="rect">
          <a:avLst/>
        </a:prstGeom>
        <a:solidFill>
          <a:schemeClr val="bg1"/>
        </a:solidFill>
        <a:ln>
          <a:solidFill>
            <a:srgbClr val="020B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800" b="1">
              <a:solidFill>
                <a:schemeClr val="tx1"/>
              </a:solidFill>
              <a:latin typeface="Castellar" panose="020A0402060406010301" pitchFamily="18" charset="0"/>
            </a:rPr>
            <a:t>INPUT SKOR</a:t>
          </a:r>
        </a:p>
      </xdr:txBody>
    </xdr:sp>
    <xdr:clientData/>
  </xdr:twoCellAnchor>
  <xdr:twoCellAnchor>
    <xdr:from>
      <xdr:col>1</xdr:col>
      <xdr:colOff>599171</xdr:colOff>
      <xdr:row>16</xdr:row>
      <xdr:rowOff>259472</xdr:rowOff>
    </xdr:from>
    <xdr:to>
      <xdr:col>13</xdr:col>
      <xdr:colOff>58317</xdr:colOff>
      <xdr:row>16</xdr:row>
      <xdr:rowOff>913622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45904CE7-0EEC-4B68-853A-272768C4AD5B}"/>
            </a:ext>
          </a:extLst>
        </xdr:cNvPr>
        <xdr:cNvSpPr/>
      </xdr:nvSpPr>
      <xdr:spPr>
        <a:xfrm>
          <a:off x="3009579" y="4458248"/>
          <a:ext cx="10675320" cy="654150"/>
        </a:xfrm>
        <a:prstGeom prst="rect">
          <a:avLst/>
        </a:prstGeom>
        <a:solidFill>
          <a:schemeClr val="bg1"/>
        </a:solidFill>
        <a:ln>
          <a:solidFill>
            <a:srgbClr val="020B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800" b="1">
              <a:solidFill>
                <a:schemeClr val="tx1"/>
              </a:solidFill>
              <a:latin typeface="Castellar" panose="020A0402060406010301" pitchFamily="18" charset="0"/>
            </a:rPr>
            <a:t>STATISTIK PERFORMA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2381249</xdr:colOff>
      <xdr:row>34</xdr:row>
      <xdr:rowOff>180974</xdr:rowOff>
    </xdr:to>
    <xdr:sp macro="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B23285FD-56FD-4702-BFF7-FA17F89E5313}"/>
            </a:ext>
          </a:extLst>
        </xdr:cNvPr>
        <xdr:cNvSpPr/>
      </xdr:nvSpPr>
      <xdr:spPr>
        <a:xfrm>
          <a:off x="0" y="0"/>
          <a:ext cx="2381249" cy="8124824"/>
        </a:xfrm>
        <a:prstGeom prst="roundRect">
          <a:avLst>
            <a:gd name="adj" fmla="val 0"/>
          </a:avLst>
        </a:prstGeom>
        <a:solidFill>
          <a:srgbClr val="020B24"/>
        </a:solidFill>
        <a:ln>
          <a:solidFill>
            <a:srgbClr val="020B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252412</xdr:colOff>
      <xdr:row>2</xdr:row>
      <xdr:rowOff>104775</xdr:rowOff>
    </xdr:from>
    <xdr:to>
      <xdr:col>0</xdr:col>
      <xdr:colOff>2100262</xdr:colOff>
      <xdr:row>7</xdr:row>
      <xdr:rowOff>152400</xdr:rowOff>
    </xdr:to>
    <xdr:sp macro="" textlink="">
      <xdr:nvSpPr>
        <xdr:cNvPr id="20" name="Flowchart: Alternate Process 1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3C1011-7603-4549-965B-40B5801856E4}"/>
            </a:ext>
          </a:extLst>
        </xdr:cNvPr>
        <xdr:cNvSpPr/>
      </xdr:nvSpPr>
      <xdr:spPr>
        <a:xfrm>
          <a:off x="252412" y="485775"/>
          <a:ext cx="1847850" cy="1000125"/>
        </a:xfrm>
        <a:prstGeom prst="flowChartAlternateProcess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solidFill>
                <a:srgbClr val="020B24"/>
              </a:solidFill>
              <a:latin typeface="Bahnschrift" panose="020B0502040204020203" pitchFamily="34" charset="0"/>
            </a:rPr>
            <a:t>Voli</a:t>
          </a:r>
        </a:p>
      </xdr:txBody>
    </xdr:sp>
    <xdr:clientData/>
  </xdr:twoCellAnchor>
  <xdr:twoCellAnchor>
    <xdr:from>
      <xdr:col>0</xdr:col>
      <xdr:colOff>252412</xdr:colOff>
      <xdr:row>10</xdr:row>
      <xdr:rowOff>533400</xdr:rowOff>
    </xdr:from>
    <xdr:to>
      <xdr:col>0</xdr:col>
      <xdr:colOff>2100262</xdr:colOff>
      <xdr:row>15</xdr:row>
      <xdr:rowOff>95250</xdr:rowOff>
    </xdr:to>
    <xdr:sp macro="" textlink="">
      <xdr:nvSpPr>
        <xdr:cNvPr id="21" name="Rectangle: Rounded Corners 2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9F91A75-6A21-4B0D-B571-8AE69D2C891E}"/>
            </a:ext>
          </a:extLst>
        </xdr:cNvPr>
        <xdr:cNvSpPr/>
      </xdr:nvSpPr>
      <xdr:spPr>
        <a:xfrm>
          <a:off x="252412" y="2857500"/>
          <a:ext cx="1847850" cy="1000125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solidFill>
                <a:srgbClr val="020B24"/>
              </a:solidFill>
              <a:latin typeface="Bahnschrift" panose="020B0502040204020203" pitchFamily="34" charset="0"/>
            </a:rPr>
            <a:t>Sepak</a:t>
          </a:r>
          <a:r>
            <a:rPr lang="en-GB" sz="2400" b="1" baseline="0">
              <a:solidFill>
                <a:srgbClr val="020B24"/>
              </a:solidFill>
              <a:latin typeface="Bahnschrift" panose="020B0502040204020203" pitchFamily="34" charset="0"/>
            </a:rPr>
            <a:t> Bola</a:t>
          </a:r>
          <a:endParaRPr lang="en-GB" sz="2400" b="1">
            <a:solidFill>
              <a:srgbClr val="020B24"/>
            </a:solidFill>
            <a:latin typeface="Bahnschrift" panose="020B0502040204020203" pitchFamily="34" charset="0"/>
          </a:endParaRPr>
        </a:p>
      </xdr:txBody>
    </xdr:sp>
    <xdr:clientData/>
  </xdr:twoCellAnchor>
  <xdr:twoCellAnchor>
    <xdr:from>
      <xdr:col>0</xdr:col>
      <xdr:colOff>252412</xdr:colOff>
      <xdr:row>8</xdr:row>
      <xdr:rowOff>142875</xdr:rowOff>
    </xdr:from>
    <xdr:to>
      <xdr:col>0</xdr:col>
      <xdr:colOff>2100262</xdr:colOff>
      <xdr:row>10</xdr:row>
      <xdr:rowOff>342900</xdr:rowOff>
    </xdr:to>
    <xdr:sp macro="" textlink="">
      <xdr:nvSpPr>
        <xdr:cNvPr id="22" name="Flowchart: Alternate Process 2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3DC5101-B109-48FB-9D07-E4BCED197D9A}"/>
            </a:ext>
          </a:extLst>
        </xdr:cNvPr>
        <xdr:cNvSpPr/>
      </xdr:nvSpPr>
      <xdr:spPr>
        <a:xfrm>
          <a:off x="252412" y="1666875"/>
          <a:ext cx="1847850" cy="1000125"/>
        </a:xfrm>
        <a:prstGeom prst="flowChartAlternateProcess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solidFill>
                <a:srgbClr val="020B24"/>
              </a:solidFill>
              <a:latin typeface="Bahnschrift" panose="020B0502040204020203" pitchFamily="34" charset="0"/>
            </a:rPr>
            <a:t>Basket</a:t>
          </a:r>
        </a:p>
      </xdr:txBody>
    </xdr:sp>
    <xdr:clientData/>
  </xdr:twoCellAnchor>
  <xdr:twoCellAnchor>
    <xdr:from>
      <xdr:col>0</xdr:col>
      <xdr:colOff>247650</xdr:colOff>
      <xdr:row>16</xdr:row>
      <xdr:rowOff>152400</xdr:rowOff>
    </xdr:from>
    <xdr:to>
      <xdr:col>0</xdr:col>
      <xdr:colOff>2095500</xdr:colOff>
      <xdr:row>19</xdr:row>
      <xdr:rowOff>19050</xdr:rowOff>
    </xdr:to>
    <xdr:sp macro="" textlink="">
      <xdr:nvSpPr>
        <xdr:cNvPr id="23" name="Rectangle: Rounded Corners 2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927E24F-D310-4A34-B2BC-27124F7E9DFD}"/>
            </a:ext>
          </a:extLst>
        </xdr:cNvPr>
        <xdr:cNvSpPr/>
      </xdr:nvSpPr>
      <xdr:spPr>
        <a:xfrm>
          <a:off x="247650" y="4105275"/>
          <a:ext cx="1847850" cy="1000125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solidFill>
                <a:srgbClr val="020B24"/>
              </a:solidFill>
              <a:latin typeface="Bahnschrift" panose="020B0502040204020203" pitchFamily="34" charset="0"/>
            </a:rPr>
            <a:t>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16422</xdr:colOff>
      <xdr:row>0</xdr:row>
      <xdr:rowOff>16669</xdr:rowOff>
    </xdr:from>
    <xdr:to>
      <xdr:col>17</xdr:col>
      <xdr:colOff>368847</xdr:colOff>
      <xdr:row>5</xdr:row>
      <xdr:rowOff>178593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D7087FC0-39DE-4082-93F3-2D3BA9241FE3}"/>
            </a:ext>
          </a:extLst>
        </xdr:cNvPr>
        <xdr:cNvSpPr/>
      </xdr:nvSpPr>
      <xdr:spPr>
        <a:xfrm>
          <a:off x="2433391" y="16669"/>
          <a:ext cx="16378237" cy="1114424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>
          <a:solidFill>
            <a:srgbClr val="020B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800" b="1">
              <a:solidFill>
                <a:schemeClr val="tx1"/>
              </a:solidFill>
              <a:latin typeface="Castellar" panose="020A0402060406010301" pitchFamily="18" charset="0"/>
            </a:rPr>
            <a:t>Sepak</a:t>
          </a:r>
          <a:r>
            <a:rPr lang="en-GB" sz="2800" b="1" baseline="0">
              <a:solidFill>
                <a:schemeClr val="tx1"/>
              </a:solidFill>
              <a:latin typeface="Castellar" panose="020A0402060406010301" pitchFamily="18" charset="0"/>
            </a:rPr>
            <a:t> bola</a:t>
          </a:r>
          <a:endParaRPr lang="en-GB" sz="2800" b="1">
            <a:solidFill>
              <a:schemeClr val="tx1"/>
            </a:solidFill>
            <a:latin typeface="Castellar" panose="020A0402060406010301" pitchFamily="18" charset="0"/>
          </a:endParaRPr>
        </a:p>
      </xdr:txBody>
    </xdr:sp>
    <xdr:clientData/>
  </xdr:twoCellAnchor>
  <xdr:twoCellAnchor>
    <xdr:from>
      <xdr:col>2</xdr:col>
      <xdr:colOff>19050</xdr:colOff>
      <xdr:row>6</xdr:row>
      <xdr:rowOff>180975</xdr:rowOff>
    </xdr:from>
    <xdr:to>
      <xdr:col>10</xdr:col>
      <xdr:colOff>114300</xdr:colOff>
      <xdr:row>9</xdr:row>
      <xdr:rowOff>180975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24F28D2E-F94C-4F5C-B6AA-98FF8153348A}"/>
            </a:ext>
          </a:extLst>
        </xdr:cNvPr>
        <xdr:cNvSpPr/>
      </xdr:nvSpPr>
      <xdr:spPr>
        <a:xfrm>
          <a:off x="3048000" y="1323975"/>
          <a:ext cx="5819775" cy="571500"/>
        </a:xfrm>
        <a:prstGeom prst="rect">
          <a:avLst/>
        </a:prstGeom>
        <a:solidFill>
          <a:schemeClr val="bg1"/>
        </a:solidFill>
        <a:ln>
          <a:solidFill>
            <a:srgbClr val="020B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800" b="1">
              <a:solidFill>
                <a:schemeClr val="tx1"/>
              </a:solidFill>
              <a:latin typeface="Castellar" panose="020A0402060406010301" pitchFamily="18" charset="0"/>
            </a:rPr>
            <a:t>input</a:t>
          </a:r>
          <a:r>
            <a:rPr lang="en-GB" sz="2800" b="1" baseline="0">
              <a:solidFill>
                <a:schemeClr val="tx1"/>
              </a:solidFill>
              <a:latin typeface="Castellar" panose="020A0402060406010301" pitchFamily="18" charset="0"/>
            </a:rPr>
            <a:t> skor</a:t>
          </a:r>
          <a:endParaRPr lang="en-GB" sz="2800" b="1">
            <a:solidFill>
              <a:schemeClr val="tx1"/>
            </a:solidFill>
            <a:latin typeface="Castellar" panose="020A0402060406010301" pitchFamily="18" charset="0"/>
          </a:endParaRPr>
        </a:p>
      </xdr:txBody>
    </xdr:sp>
    <xdr:clientData/>
  </xdr:twoCellAnchor>
  <xdr:twoCellAnchor>
    <xdr:from>
      <xdr:col>2</xdr:col>
      <xdr:colOff>19050</xdr:colOff>
      <xdr:row>16</xdr:row>
      <xdr:rowOff>171450</xdr:rowOff>
    </xdr:from>
    <xdr:to>
      <xdr:col>10</xdr:col>
      <xdr:colOff>114300</xdr:colOff>
      <xdr:row>19</xdr:row>
      <xdr:rowOff>171450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45C88895-5BDA-4768-9567-0049E76FBF15}"/>
            </a:ext>
          </a:extLst>
        </xdr:cNvPr>
        <xdr:cNvSpPr/>
      </xdr:nvSpPr>
      <xdr:spPr>
        <a:xfrm>
          <a:off x="3048000" y="3409950"/>
          <a:ext cx="5819775" cy="571500"/>
        </a:xfrm>
        <a:prstGeom prst="rect">
          <a:avLst/>
        </a:prstGeom>
        <a:solidFill>
          <a:schemeClr val="bg1"/>
        </a:solidFill>
        <a:ln>
          <a:solidFill>
            <a:srgbClr val="020B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800" b="1">
              <a:solidFill>
                <a:schemeClr val="tx1"/>
              </a:solidFill>
              <a:latin typeface="Castellar" panose="020A0402060406010301" pitchFamily="18" charset="0"/>
            </a:rPr>
            <a:t>Statistik</a:t>
          </a:r>
          <a:r>
            <a:rPr lang="en-GB" sz="2800" b="1" baseline="0">
              <a:solidFill>
                <a:schemeClr val="tx1"/>
              </a:solidFill>
              <a:latin typeface="Castellar" panose="020A0402060406010301" pitchFamily="18" charset="0"/>
            </a:rPr>
            <a:t> performa</a:t>
          </a:r>
          <a:endParaRPr lang="en-GB" sz="2800" b="1">
            <a:solidFill>
              <a:schemeClr val="tx1"/>
            </a:solidFill>
            <a:latin typeface="Castellar" panose="020A0402060406010301" pitchFamily="18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2381249</xdr:colOff>
      <xdr:row>39</xdr:row>
      <xdr:rowOff>171450</xdr:rowOff>
    </xdr:to>
    <xdr:sp macro="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B9745D34-6B0B-4B0D-938B-0E840EC904E3}"/>
            </a:ext>
          </a:extLst>
        </xdr:cNvPr>
        <xdr:cNvSpPr/>
      </xdr:nvSpPr>
      <xdr:spPr>
        <a:xfrm>
          <a:off x="0" y="0"/>
          <a:ext cx="2381249" cy="8172450"/>
        </a:xfrm>
        <a:prstGeom prst="roundRect">
          <a:avLst>
            <a:gd name="adj" fmla="val 0"/>
          </a:avLst>
        </a:prstGeom>
        <a:solidFill>
          <a:srgbClr val="020B24"/>
        </a:solidFill>
        <a:ln>
          <a:solidFill>
            <a:srgbClr val="020B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252412</xdr:colOff>
      <xdr:row>2</xdr:row>
      <xdr:rowOff>104775</xdr:rowOff>
    </xdr:from>
    <xdr:to>
      <xdr:col>0</xdr:col>
      <xdr:colOff>2100262</xdr:colOff>
      <xdr:row>7</xdr:row>
      <xdr:rowOff>152400</xdr:rowOff>
    </xdr:to>
    <xdr:sp macro="" textlink="">
      <xdr:nvSpPr>
        <xdr:cNvPr id="12" name="Flowchart: Alternate Proces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AD36510-30D9-407D-9B30-09A86FF5A89A}"/>
            </a:ext>
          </a:extLst>
        </xdr:cNvPr>
        <xdr:cNvSpPr/>
      </xdr:nvSpPr>
      <xdr:spPr>
        <a:xfrm>
          <a:off x="252412" y="485775"/>
          <a:ext cx="1847850" cy="1000125"/>
        </a:xfrm>
        <a:prstGeom prst="flowChartAlternateProcess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solidFill>
                <a:srgbClr val="020B24"/>
              </a:solidFill>
              <a:latin typeface="Bahnschrift" panose="020B0502040204020203" pitchFamily="34" charset="0"/>
            </a:rPr>
            <a:t>Voli</a:t>
          </a:r>
        </a:p>
      </xdr:txBody>
    </xdr:sp>
    <xdr:clientData/>
  </xdr:twoCellAnchor>
  <xdr:twoCellAnchor>
    <xdr:from>
      <xdr:col>0</xdr:col>
      <xdr:colOff>252412</xdr:colOff>
      <xdr:row>14</xdr:row>
      <xdr:rowOff>0</xdr:rowOff>
    </xdr:from>
    <xdr:to>
      <xdr:col>0</xdr:col>
      <xdr:colOff>2100262</xdr:colOff>
      <xdr:row>19</xdr:row>
      <xdr:rowOff>47625</xdr:rowOff>
    </xdr:to>
    <xdr:sp macro="" textlink="">
      <xdr:nvSpPr>
        <xdr:cNvPr id="13" name="Rectangle: Rounded Corners 1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66187A7-2EA4-4F87-94B5-117D21284AE1}"/>
            </a:ext>
          </a:extLst>
        </xdr:cNvPr>
        <xdr:cNvSpPr/>
      </xdr:nvSpPr>
      <xdr:spPr>
        <a:xfrm>
          <a:off x="252412" y="2857500"/>
          <a:ext cx="1847850" cy="1000125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solidFill>
                <a:srgbClr val="020B24"/>
              </a:solidFill>
              <a:latin typeface="Bahnschrift" panose="020B0502040204020203" pitchFamily="34" charset="0"/>
            </a:rPr>
            <a:t>Sepak</a:t>
          </a:r>
          <a:r>
            <a:rPr lang="en-GB" sz="2400" b="1" baseline="0">
              <a:solidFill>
                <a:srgbClr val="020B24"/>
              </a:solidFill>
              <a:latin typeface="Bahnschrift" panose="020B0502040204020203" pitchFamily="34" charset="0"/>
            </a:rPr>
            <a:t> Bola</a:t>
          </a:r>
          <a:endParaRPr lang="en-GB" sz="2400" b="1">
            <a:solidFill>
              <a:srgbClr val="020B24"/>
            </a:solidFill>
            <a:latin typeface="Bahnschrift" panose="020B0502040204020203" pitchFamily="34" charset="0"/>
          </a:endParaRPr>
        </a:p>
      </xdr:txBody>
    </xdr:sp>
    <xdr:clientData/>
  </xdr:twoCellAnchor>
  <xdr:twoCellAnchor>
    <xdr:from>
      <xdr:col>0</xdr:col>
      <xdr:colOff>252412</xdr:colOff>
      <xdr:row>8</xdr:row>
      <xdr:rowOff>142875</xdr:rowOff>
    </xdr:from>
    <xdr:to>
      <xdr:col>0</xdr:col>
      <xdr:colOff>2100262</xdr:colOff>
      <xdr:row>13</xdr:row>
      <xdr:rowOff>0</xdr:rowOff>
    </xdr:to>
    <xdr:sp macro="" textlink="">
      <xdr:nvSpPr>
        <xdr:cNvPr id="14" name="Flowchart: Alternate Process 1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804BBBC-EE4F-405A-AAD2-9F3AF871FBDD}"/>
            </a:ext>
          </a:extLst>
        </xdr:cNvPr>
        <xdr:cNvSpPr/>
      </xdr:nvSpPr>
      <xdr:spPr>
        <a:xfrm>
          <a:off x="252412" y="1666875"/>
          <a:ext cx="1847850" cy="1000125"/>
        </a:xfrm>
        <a:prstGeom prst="flowChartAlternateProcess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solidFill>
                <a:srgbClr val="020B24"/>
              </a:solidFill>
              <a:latin typeface="Bahnschrift" panose="020B0502040204020203" pitchFamily="34" charset="0"/>
            </a:rPr>
            <a:t>Basket</a:t>
          </a:r>
        </a:p>
      </xdr:txBody>
    </xdr:sp>
    <xdr:clientData/>
  </xdr:twoCellAnchor>
  <xdr:twoCellAnchor>
    <xdr:from>
      <xdr:col>0</xdr:col>
      <xdr:colOff>247650</xdr:colOff>
      <xdr:row>20</xdr:row>
      <xdr:rowOff>104775</xdr:rowOff>
    </xdr:from>
    <xdr:to>
      <xdr:col>0</xdr:col>
      <xdr:colOff>2095500</xdr:colOff>
      <xdr:row>23</xdr:row>
      <xdr:rowOff>152400</xdr:rowOff>
    </xdr:to>
    <xdr:sp macro="" textlink="">
      <xdr:nvSpPr>
        <xdr:cNvPr id="15" name="Rectangle: Rounded Corners 1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4724191-B7A2-43F7-B46D-5BA560FBC4F6}"/>
            </a:ext>
          </a:extLst>
        </xdr:cNvPr>
        <xdr:cNvSpPr/>
      </xdr:nvSpPr>
      <xdr:spPr>
        <a:xfrm>
          <a:off x="247650" y="4105275"/>
          <a:ext cx="1847850" cy="1000125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solidFill>
                <a:srgbClr val="020B24"/>
              </a:solidFill>
              <a:latin typeface="Bahnschrift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2</xdr:col>
      <xdr:colOff>0</xdr:colOff>
      <xdr:row>26</xdr:row>
      <xdr:rowOff>0</xdr:rowOff>
    </xdr:from>
    <xdr:to>
      <xdr:col>10</xdr:col>
      <xdr:colOff>95250</xdr:colOff>
      <xdr:row>29</xdr:row>
      <xdr:rowOff>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5D84FD6F-9116-4BDF-981C-C50BF9EA6125}"/>
            </a:ext>
          </a:extLst>
        </xdr:cNvPr>
        <xdr:cNvSpPr/>
      </xdr:nvSpPr>
      <xdr:spPr>
        <a:xfrm>
          <a:off x="3028950" y="5524500"/>
          <a:ext cx="5991225" cy="571500"/>
        </a:xfrm>
        <a:prstGeom prst="rect">
          <a:avLst/>
        </a:prstGeom>
        <a:solidFill>
          <a:schemeClr val="bg1"/>
        </a:solidFill>
        <a:ln>
          <a:solidFill>
            <a:srgbClr val="020B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800" b="1">
              <a:solidFill>
                <a:schemeClr val="tx1"/>
              </a:solidFill>
              <a:latin typeface="Castellar" panose="020A0402060406010301" pitchFamily="18" charset="0"/>
            </a:rPr>
            <a:t>tabel KLAsemen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774A71-CEA3-4748-AC12-ACAC358C6417}" name="Table1" displayName="Table1" ref="B13:J20" totalsRowShown="0" headerRowDxfId="106" dataDxfId="105">
  <autoFilter ref="B13:J20" xr:uid="{D3774A71-CEA3-4748-AC12-ACAC358C6417}"/>
  <tableColumns count="9">
    <tableColumn id="1" xr3:uid="{0ECF7B1C-2B6B-4AF2-999F-9CC3B8D9A2D5}" name="No" dataDxfId="104"/>
    <tableColumn id="2" xr3:uid="{0F4BE056-9385-446B-818C-B7287044513E}" name="Babak" dataDxfId="103"/>
    <tableColumn id="3" xr3:uid="{13C6EB07-83C3-4EEA-B898-A35E3D746E80}" name="Tanggal" dataDxfId="102"/>
    <tableColumn id="4" xr3:uid="{0ED4B6C8-99B0-419A-B3A1-CD189C685485}" name="Tim 1" dataDxfId="101"/>
    <tableColumn id="5" xr3:uid="{FB009C31-8D58-4824-9D32-C2B563AB14BE}" name="Tim 2" dataDxfId="100"/>
    <tableColumn id="6" xr3:uid="{F1C931B3-F9BF-4FF1-A6DE-0A0EA4F8BE58}" name="Skor Tim 1" dataDxfId="99"/>
    <tableColumn id="7" xr3:uid="{C654CC4C-5D25-421A-95C1-9F561B1C7DB9}" name="Skor Tim 2" dataDxfId="98"/>
    <tableColumn id="8" xr3:uid="{2A25818D-35BC-43C4-8E92-AD22B7B7BFB8}" name="Pemenang" dataDxfId="97">
      <calculatedColumnFormula>IF(AND(G14="",H14=""), "-", IF(G14&gt; H14, E14, IF(H14 &gt; G14, F14, "DRAW")))</calculatedColumnFormula>
    </tableColumn>
    <tableColumn id="9" xr3:uid="{E46C4654-5267-49D5-AAB2-3AC415CB8B51}" name="Keterangan" dataDxfId="9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4AB4F6A-5346-4314-9D1F-BD354C7071BD}" name="Table2" displayName="Table2" ref="B29:K36" totalsRowShown="0" headerRowDxfId="95" dataDxfId="94">
  <autoFilter ref="B29:K36" xr:uid="{C4AB4F6A-5346-4314-9D1F-BD354C7071BD}"/>
  <tableColumns count="10">
    <tableColumn id="1" xr3:uid="{A506A800-D48F-4262-B907-89ACA86D459F}" name="No" dataDxfId="93"/>
    <tableColumn id="2" xr3:uid="{91C7D8D7-6FC1-4A3C-90AE-E07ED6F72439}" name="Babak" dataDxfId="92"/>
    <tableColumn id="3" xr3:uid="{6DE5DBF7-1280-4597-83DC-5851C8567B70}" name="Tim 1" dataDxfId="91"/>
    <tableColumn id="4" xr3:uid="{D9962256-5E9A-4F68-8DA0-6A33CCEDE219}" name="Tim 2" dataDxfId="90"/>
    <tableColumn id="5" xr3:uid="{72A65F4F-6D60-47CB-923F-B6887DFD39E2}" name="Set 1" dataDxfId="89"/>
    <tableColumn id="6" xr3:uid="{D6143700-54FB-43B4-8268-70770A964146}" name="Set 2" dataDxfId="88"/>
    <tableColumn id="7" xr3:uid="{77995BF5-0C81-44C4-A268-B0897A2876DE}" name="Set 3" dataDxfId="87"/>
    <tableColumn id="8" xr3:uid="{39114349-372B-4395-BC56-4C72A0F04B41}" name="Set 4" dataDxfId="86"/>
    <tableColumn id="9" xr3:uid="{66996DFD-E49B-4DDA-800C-444EA0C656C5}" name="Set 5" dataDxfId="85"/>
    <tableColumn id="10" xr3:uid="{7FEE6DB2-0BF9-4D06-9D5C-8FB4A335F1D3}" name="Pemenang" dataDxfId="84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E2D9237-6A7A-47A5-A28A-B247A1D29B9A}" name="Table445" displayName="Table445" ref="B43:H51" totalsRowShown="0" headerRowDxfId="83" dataDxfId="81" headerRowBorderDxfId="82" tableBorderDxfId="80" totalsRowBorderDxfId="79">
  <autoFilter ref="B43:H51" xr:uid="{CE2D9237-6A7A-47A5-A28A-B247A1D29B9A}"/>
  <tableColumns count="7">
    <tableColumn id="1" xr3:uid="{4D032759-E7FF-4D65-A0E3-D1804102563D}" name="Tim" dataDxfId="78"/>
    <tableColumn id="2" xr3:uid="{6F3AA41C-691C-436B-B061-299649F60DCD}" name="Main" dataDxfId="77">
      <calculatedColumnFormula>COUNTIFS(Voli!E:E,B44)+COUNTIFS(Voli!F:F,B44)</calculatedColumnFormula>
    </tableColumn>
    <tableColumn id="3" xr3:uid="{A9B298D6-9DF9-4573-9750-8A82AA737EAD}" name="Menang" dataDxfId="76">
      <calculatedColumnFormula>COUNTIF(Voli!I:I,B44)</calculatedColumnFormula>
    </tableColumn>
    <tableColumn id="4" xr3:uid="{818F7551-616A-4CF9-8A44-B8D2C4F439E1}" name="Kalah" dataDxfId="75">
      <calculatedColumnFormula>C44-D44</calculatedColumnFormula>
    </tableColumn>
    <tableColumn id="5" xr3:uid="{F2890218-9339-40E8-BB2F-76E3B0399E76}" name="Set Menang" dataDxfId="74">
      <calculatedColumnFormula>SUMIFS(Voli!G:G,Voli!E:E,B44)+SUMIFS(Voli!H:H,Voli!F:F,B44)</calculatedColumnFormula>
    </tableColumn>
    <tableColumn id="6" xr3:uid="{EAF3EC33-1DD5-49B8-B451-FE6637602EE7}" name="Set Kalah" dataDxfId="73">
      <calculatedColumnFormula>SUMIFS(Voli!H:H,Voli!E:E,B44)+SUMIFS(Voli!G:G,Voli!F:F,B44)</calculatedColumnFormula>
    </tableColumn>
    <tableColumn id="7" xr3:uid="{D78F1D63-1729-4864-808B-886E41B5D7F8}" name="Poin " dataDxfId="72">
      <calculatedColumnFormula>D44*2</calculatedColumnFormula>
    </tableColumn>
  </tableColumns>
  <tableStyleInfo name="TableStyleMedium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000AD83-D650-4EAC-9DDD-60F9DB332850}" name="Table5" displayName="Table5" ref="D11:K14" totalsRowShown="0" headerRowDxfId="71" dataDxfId="69" headerRowBorderDxfId="70" tableBorderDxfId="68" totalsRowBorderDxfId="67">
  <autoFilter ref="D11:K14" xr:uid="{4000AD83-D650-4EAC-9DDD-60F9DB332850}"/>
  <tableColumns count="8">
    <tableColumn id="1" xr3:uid="{87A46709-9B53-401A-9225-ED87E50B32B4}" name="ID Pertandingan" dataDxfId="66"/>
    <tableColumn id="2" xr3:uid="{33439125-9CA3-4070-840E-EAC9D600C83A}" name="Tanggal" dataDxfId="65"/>
    <tableColumn id="3" xr3:uid="{A197E2BC-8304-4E06-B237-B766FF1848C6}" name="Kompetisi" dataDxfId="64"/>
    <tableColumn id="4" xr3:uid="{34FDF01D-A4EF-44CB-8EAD-1E68689C30FC}" name="Tim Tuan Rumah" dataDxfId="63"/>
    <tableColumn id="5" xr3:uid="{34BA23DB-93E4-4E67-8848-693E1263D06C}" name="Skor Tuan Rumah" dataDxfId="62"/>
    <tableColumn id="6" xr3:uid="{7902FEFB-6276-4F9C-911F-9C76C0F35B8E}" name="Tim Tamu" dataDxfId="61"/>
    <tableColumn id="7" xr3:uid="{91A9FBA0-B251-4B15-AA2C-66E4F25BD16A}" name="Skor Tim Tamu" dataDxfId="60"/>
    <tableColumn id="8" xr3:uid="{15A863DE-D824-49B4-AC37-3E876BC74057}" name="Pemenang" dataDxfId="59">
      <calculatedColumnFormula>IF(AND(H12="",J12=""), "-", IF(H12 &gt; J12, G12, IF(J12 &gt; H12, I12, "DRAW")))</calculatedColumnFormula>
    </tableColumn>
  </tableColumns>
  <tableStyleInfo name="TableStyleLight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169C40-8572-47D1-B3DE-B8845672E3CC}" name="Table6" displayName="Table6" ref="D19:L25" totalsRowShown="0" headerRowDxfId="58" dataDxfId="56" headerRowBorderDxfId="57" tableBorderDxfId="55" totalsRowBorderDxfId="54">
  <autoFilter ref="D19:L25" xr:uid="{32169C40-8572-47D1-B3DE-B8845672E3CC}"/>
  <tableColumns count="9">
    <tableColumn id="1" xr3:uid="{B4EBD2AB-2657-4F9F-9BC4-803F2129984A}" name="ID Pertandingan" dataDxfId="53"/>
    <tableColumn id="2" xr3:uid="{DC985CEC-2483-4402-8CC9-CBB7A9B5F06C}" name="Nama Tim" dataDxfId="52"/>
    <tableColumn id="3" xr3:uid="{90E4FBF6-1D8E-4C7D-8D11-31E43FC08C99}" name="FG%" dataDxfId="51"/>
    <tableColumn id="4" xr3:uid="{FA8CC1BB-978B-4303-A260-C7C7BF2FE447}" name="3P%" dataDxfId="50"/>
    <tableColumn id="5" xr3:uid="{BCDF2DFF-FD26-4410-AE6B-B6C528D2F818}" name="Free Throw%" dataDxfId="49"/>
    <tableColumn id="6" xr3:uid="{17DAF251-D92B-46E7-B18A-4922E75C10B1}" name="Rebounds (Total)" dataDxfId="48"/>
    <tableColumn id="7" xr3:uid="{A4BE9778-8BC6-437E-A669-71877BEC90A7}" name="Assists" dataDxfId="47"/>
    <tableColumn id="8" xr3:uid="{807A2505-7EF8-4E34-8038-E8C597C5124D}" name="Turnovers" dataDxfId="46"/>
    <tableColumn id="9" xr3:uid="{39177241-FFB4-4DDC-BC44-D87FFC07E417}" name="Pelanggaran (Fouls)" dataDxfId="45"/>
  </tableColumns>
  <tableStyleInfo name="TableStyleLight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A0784C-B4BA-44E7-A593-54D1A4412976}" name="Table3" displayName="Table3" ref="C12:L14" totalsRowShown="0" headerRowDxfId="44" dataDxfId="42" headerRowBorderDxfId="43" tableBorderDxfId="41" totalsRowBorderDxfId="40">
  <autoFilter ref="C12:L14" xr:uid="{AFA0784C-B4BA-44E7-A593-54D1A4412976}"/>
  <tableColumns count="10">
    <tableColumn id="1" xr3:uid="{36DF5767-FB8D-4A03-96DF-8BBB51254B73}" name="No" dataDxfId="39"/>
    <tableColumn id="2" xr3:uid="{A6EA16C8-A2E0-4E7B-BC9E-B8382F41C9DC}" name="Tanggal" dataDxfId="38"/>
    <tableColumn id="3" xr3:uid="{45D7AFC0-3270-4367-AE29-D3BCD67B7C8E}" name="Tim Home" dataDxfId="37"/>
    <tableColumn id="4" xr3:uid="{95156229-B8A8-474F-B7D5-6E4EDA190022}" name="Tim Away" dataDxfId="36"/>
    <tableColumn id="5" xr3:uid="{2C55E954-0399-41AB-9246-4B6D7A2C049D}" name="Babak 1"/>
    <tableColumn id="6" xr3:uid="{A1C55662-8235-4B24-86EE-B54203CA535C}" name="Babak 2" dataDxfId="35"/>
    <tableColumn id="7" xr3:uid="{0223CA04-D140-4E9E-9544-3450D3954F5A}" name="Extra Time" dataDxfId="34"/>
    <tableColumn id="8" xr3:uid="{758E9A22-19EA-48C5-80D9-81D883568C7D}" name="Skor Home" dataDxfId="33"/>
    <tableColumn id="9" xr3:uid="{CF6B31C8-2561-45E3-88EF-AF07CDA9A2A6}" name="Skor Away" dataDxfId="32"/>
    <tableColumn id="10" xr3:uid="{D0993BC2-8B54-4475-A5F6-F5F84DB49384}" name="Status/Hasil" dataDxfId="31">
      <calculatedColumnFormula>IF(AND(J13="",K13=""), "-", IF(J13 &gt; K13, E13, IF(K13 &gt; J13, F13, "DRAW")))</calculatedColumnFormula>
    </tableColumn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3AC1C89-EB2E-42A0-BBDB-DA363D86AEF9}" name="Table7" displayName="Table7" ref="C22:M24" totalsRowShown="0" headerRowDxfId="30" dataDxfId="28" headerRowBorderDxfId="29" tableBorderDxfId="27" totalsRowBorderDxfId="26">
  <autoFilter ref="C22:M24" xr:uid="{83AC1C89-EB2E-42A0-BBDB-DA363D86AEF9}"/>
  <tableColumns count="11">
    <tableColumn id="1" xr3:uid="{3F27D3E0-792E-433C-8FC1-0080B8279894}" name="No" dataDxfId="25"/>
    <tableColumn id="2" xr3:uid="{C90F0028-ECF6-4DEE-A7AA-DB2D33BAB4E7}" name="Tim Home" dataDxfId="24"/>
    <tableColumn id="3" xr3:uid="{7734B267-C666-407F-BBDB-A99AB0244199}" name="Tim Away" dataDxfId="23"/>
    <tableColumn id="4" xr3:uid="{756D08C4-C806-49CE-BAEC-D26C1D3E762A}" name="Possession (%)" dataDxfId="22"/>
    <tableColumn id="5" xr3:uid="{73E89FB1-AB0C-41FF-9F7A-12B67AE87F8A}" name="Shots (H/A)" dataDxfId="21"/>
    <tableColumn id="6" xr3:uid="{5E74E150-DDE9-4605-873C-60B40B74CA18}" name="Shots on Target (H/A)" dataDxfId="20"/>
    <tableColumn id="7" xr3:uid="{F4B962DE-FA37-47AE-944B-2431C3D25F17}" name="Corners (H/A)" dataDxfId="19"/>
    <tableColumn id="8" xr3:uid="{62312F7F-47EC-4036-9017-A8D85E3D593E}" name="Fouls (H/A)" dataDxfId="18"/>
    <tableColumn id="9" xr3:uid="{9D472658-3B0D-4486-9C89-049E79C2FBBB}" name="Offsides (H/A)" dataDxfId="17"/>
    <tableColumn id="10" xr3:uid="{523F9F91-DE31-46CA-A0CA-1C1424C6FB2A}" name="Yellow Cards (H/A)" dataDxfId="16"/>
    <tableColumn id="11" xr3:uid="{3B6C1228-9928-4BA8-A45F-5A3FEBF44E3F}" name="Red Cards (H/A)" dataDxfId="15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934FB12-2EEB-4C9F-9C70-B1B4F031309B}" name="Table8" displayName="Table8" ref="C31:L33" totalsRowShown="0" headerRowDxfId="14" dataDxfId="12" headerRowBorderDxfId="13" tableBorderDxfId="11" totalsRowBorderDxfId="10">
  <autoFilter ref="C31:L33" xr:uid="{A934FB12-2EEB-4C9F-9C70-B1B4F031309B}"/>
  <tableColumns count="10">
    <tableColumn id="1" xr3:uid="{1C11098D-C70B-40A9-ABE9-A6A3CBDDD9F9}" name="No" dataDxfId="9">
      <calculatedColumnFormula>_xlfn.RANK.EQ(M32, $M$32:$M$40)</calculatedColumnFormula>
    </tableColumn>
    <tableColumn id="2" xr3:uid="{65A01A85-C741-46A0-BC54-910473029376}" name="Nama Tim" dataDxfId="8"/>
    <tableColumn id="3" xr3:uid="{4A39DC95-AD79-41A5-832F-9C1A4E11BB93}" name="Main" dataDxfId="7">
      <calculatedColumnFormula>COUNTIF($E$13:$E$29, D32) + COUNTIF($F$13:$F$29, D32)</calculatedColumnFormula>
    </tableColumn>
    <tableColumn id="4" xr3:uid="{EF7A7814-A56A-4F8E-B71B-EDDEB022B0CB}" name="Menang" dataDxfId="6">
      <calculatedColumnFormula>COUNTIF($L$13:$L$29, D32)</calculatedColumnFormula>
    </tableColumn>
    <tableColumn id="5" xr3:uid="{1F1647CF-49D4-4512-935D-43D12A1B0631}" name="Seri" dataDxfId="5">
      <calculatedColumnFormula>COUNTIFS($E$13:$E$29, D32, $L$13:$L$29, "DRAW") + COUNTIFS($F$13:$F$29, D32, $L$13:$L$29, "DRAW")</calculatedColumnFormula>
    </tableColumn>
    <tableColumn id="6" xr3:uid="{59F70259-528F-4A69-8352-0DE0E548E0D3}" name="Kalah" dataDxfId="4">
      <calculatedColumnFormula>E32 - F32 - G32</calculatedColumnFormula>
    </tableColumn>
    <tableColumn id="7" xr3:uid="{0A3D51AE-F8AB-47F3-95CD-43662E4A8C79}" name="GM" dataDxfId="3">
      <calculatedColumnFormula>SUMIFS($J$13:$J$29, $E$13:$E$29, D32) + SUMIFS($K$13:$K$29, $F$13:$F$29, D32)</calculatedColumnFormula>
    </tableColumn>
    <tableColumn id="8" xr3:uid="{98C3050C-F590-41D4-AAD6-FB2BD39D8776}" name="GK" dataDxfId="2">
      <calculatedColumnFormula>SUMIFS($K$13:$K$29, $E$13:$E$29, D32) + SUMIFS($J$13:$J$29, $F$13:$F$29, D32)</calculatedColumnFormula>
    </tableColumn>
    <tableColumn id="9" xr3:uid="{958C752A-4659-4154-97D4-D8676EED4715}" name="Selisih" dataDxfId="1">
      <calculatedColumnFormula>I32 - J32</calculatedColumnFormula>
    </tableColumn>
    <tableColumn id="10" xr3:uid="{887CDF5E-4A2E-409D-8CC7-E10D78E19D01}" name="Poin" dataDxfId="0">
      <calculatedColumnFormula>(F32*3) + (G32*1)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84312B-AA5C-4DA3-90B1-6F1431FE8DAC}">
  <sheetPr codeName="Sheet1">
    <tabColor theme="3" tint="0.59999389629810485"/>
  </sheetPr>
  <dimension ref="A1:CD69"/>
  <sheetViews>
    <sheetView tabSelected="1" zoomScale="80" zoomScaleNormal="80" workbookViewId="0"/>
  </sheetViews>
  <sheetFormatPr defaultRowHeight="15" x14ac:dyDescent="0.25"/>
  <cols>
    <col min="1" max="1" width="36.28515625" customWidth="1"/>
    <col min="2" max="2" width="26" customWidth="1"/>
    <col min="3" max="3" width="18.140625" customWidth="1"/>
    <col min="4" max="4" width="17.85546875" customWidth="1"/>
    <col min="5" max="5" width="12.7109375" customWidth="1"/>
  </cols>
  <sheetData>
    <row r="1" spans="1:19" x14ac:dyDescent="0.25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</row>
    <row r="2" spans="1:19" x14ac:dyDescent="0.25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</row>
    <row r="3" spans="1:19" x14ac:dyDescent="0.25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</row>
    <row r="4" spans="1:19" x14ac:dyDescent="0.25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</row>
    <row r="5" spans="1:19" x14ac:dyDescent="0.25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</row>
    <row r="6" spans="1:19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</row>
    <row r="7" spans="1:19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</row>
    <row r="8" spans="1:19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</row>
    <row r="9" spans="1:19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</row>
    <row r="10" spans="1:19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</row>
    <row r="11" spans="1:19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</row>
    <row r="12" spans="1:19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</row>
    <row r="13" spans="1:19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</row>
    <row r="14" spans="1:19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</row>
    <row r="15" spans="1:19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</row>
    <row r="16" spans="1:19" x14ac:dyDescent="0.25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</row>
    <row r="17" spans="2:19" ht="35.450000000000003" customHeight="1" x14ac:dyDescent="0.25">
      <c r="B17" s="91" t="s">
        <v>119</v>
      </c>
      <c r="C17" s="92"/>
      <c r="D17" s="93"/>
      <c r="E17" s="7"/>
      <c r="F17" s="8"/>
      <c r="G17" s="8"/>
      <c r="H17" s="8"/>
      <c r="I17" s="8"/>
      <c r="J17" s="8"/>
      <c r="K17" s="8"/>
      <c r="L17" s="42"/>
      <c r="M17" s="42"/>
      <c r="N17" s="42"/>
      <c r="O17" s="42"/>
      <c r="P17" s="42"/>
      <c r="Q17" s="42"/>
      <c r="R17" s="42"/>
      <c r="S17" s="42"/>
    </row>
    <row r="18" spans="2:19" ht="15.75" x14ac:dyDescent="0.25">
      <c r="B18" s="96" t="s">
        <v>47</v>
      </c>
      <c r="C18" s="97"/>
      <c r="D18" s="98"/>
      <c r="E18" s="7"/>
      <c r="F18" s="8"/>
      <c r="G18" s="8"/>
      <c r="H18" s="8"/>
      <c r="I18" s="8"/>
      <c r="J18" s="8"/>
      <c r="K18" s="8"/>
      <c r="L18" s="42"/>
      <c r="M18" s="42"/>
      <c r="N18" s="42"/>
      <c r="O18" s="42"/>
      <c r="P18" s="42"/>
      <c r="Q18" s="42"/>
      <c r="R18" s="42"/>
      <c r="S18" s="42"/>
    </row>
    <row r="19" spans="2:19" ht="15.75" x14ac:dyDescent="0.25">
      <c r="B19" s="1" t="s">
        <v>48</v>
      </c>
      <c r="C19" s="83">
        <v>7</v>
      </c>
      <c r="D19" s="84"/>
      <c r="E19" s="7"/>
      <c r="F19" s="8"/>
      <c r="G19" s="8"/>
      <c r="H19" s="8"/>
      <c r="I19" s="8"/>
      <c r="J19" s="8"/>
      <c r="K19" s="8"/>
      <c r="L19" s="42"/>
      <c r="M19" s="42"/>
      <c r="N19" s="42"/>
      <c r="O19" s="42"/>
      <c r="P19" s="42"/>
      <c r="Q19" s="42"/>
      <c r="R19" s="42"/>
      <c r="S19" s="42"/>
    </row>
    <row r="20" spans="2:19" ht="15.75" x14ac:dyDescent="0.25">
      <c r="B20" s="2" t="s">
        <v>49</v>
      </c>
      <c r="C20" s="83">
        <v>8</v>
      </c>
      <c r="D20" s="84"/>
      <c r="E20" s="7"/>
      <c r="F20" s="8"/>
      <c r="G20" s="8"/>
      <c r="H20" s="8"/>
      <c r="I20" s="8"/>
      <c r="J20" s="8"/>
      <c r="K20" s="8"/>
      <c r="L20" s="42"/>
      <c r="M20" s="42"/>
      <c r="N20" s="42"/>
      <c r="O20" s="42"/>
      <c r="P20" s="42"/>
      <c r="Q20" s="42"/>
      <c r="R20" s="42"/>
      <c r="S20" s="42"/>
    </row>
    <row r="21" spans="2:19" ht="15.75" x14ac:dyDescent="0.25">
      <c r="B21" s="1" t="s">
        <v>50</v>
      </c>
      <c r="C21" s="94" t="s">
        <v>118</v>
      </c>
      <c r="D21" s="95"/>
      <c r="E21" s="7"/>
      <c r="F21" s="8"/>
      <c r="G21" s="8"/>
      <c r="H21" s="8"/>
      <c r="I21" s="8"/>
      <c r="J21" s="8"/>
      <c r="K21" s="8"/>
      <c r="L21" s="42"/>
      <c r="M21" s="42"/>
      <c r="N21" s="42"/>
      <c r="O21" s="42"/>
      <c r="P21" s="42"/>
      <c r="Q21" s="42"/>
      <c r="R21" s="42"/>
      <c r="S21" s="42"/>
    </row>
    <row r="22" spans="2:19" ht="15.75" x14ac:dyDescent="0.25">
      <c r="B22" s="99"/>
      <c r="C22" s="100"/>
      <c r="D22" s="100"/>
      <c r="E22" s="100"/>
      <c r="F22" s="8"/>
      <c r="G22" s="8"/>
      <c r="H22" s="8"/>
      <c r="I22" s="8"/>
      <c r="J22" s="8"/>
      <c r="K22" s="8"/>
      <c r="L22" s="42"/>
      <c r="M22" s="42"/>
      <c r="N22" s="42"/>
      <c r="O22" s="42"/>
      <c r="P22" s="42"/>
      <c r="Q22" s="42"/>
      <c r="R22" s="42"/>
      <c r="S22" s="42"/>
    </row>
    <row r="23" spans="2:19" ht="15.75" x14ac:dyDescent="0.25">
      <c r="B23" s="102" t="s">
        <v>51</v>
      </c>
      <c r="C23" s="103"/>
      <c r="D23" s="104"/>
      <c r="E23" s="7"/>
      <c r="F23" s="8"/>
      <c r="G23" s="8"/>
      <c r="H23" s="8"/>
      <c r="I23" s="8"/>
      <c r="J23" s="8"/>
      <c r="K23" s="8"/>
      <c r="L23" s="42"/>
      <c r="M23" s="42"/>
      <c r="N23" s="42"/>
      <c r="O23" s="42"/>
      <c r="P23" s="42"/>
      <c r="Q23" s="42"/>
      <c r="R23" s="42"/>
      <c r="S23" s="42"/>
    </row>
    <row r="24" spans="2:19" ht="15.75" x14ac:dyDescent="0.25">
      <c r="B24" s="4" t="s">
        <v>21</v>
      </c>
      <c r="C24" s="83" t="s">
        <v>9</v>
      </c>
      <c r="D24" s="84"/>
      <c r="E24" s="7"/>
      <c r="F24" s="8"/>
      <c r="G24" s="8"/>
      <c r="H24" s="8"/>
      <c r="I24" s="8"/>
      <c r="J24" s="8"/>
      <c r="K24" s="8"/>
      <c r="L24" s="42"/>
      <c r="M24" s="42"/>
      <c r="N24" s="42"/>
      <c r="O24" s="42"/>
      <c r="P24" s="42"/>
      <c r="Q24" s="42"/>
      <c r="R24" s="42"/>
      <c r="S24" s="42"/>
    </row>
    <row r="25" spans="2:19" ht="15.75" x14ac:dyDescent="0.25">
      <c r="B25" s="4" t="s">
        <v>52</v>
      </c>
      <c r="C25" s="94" t="s">
        <v>15</v>
      </c>
      <c r="D25" s="84"/>
      <c r="E25" s="7"/>
      <c r="F25" s="8"/>
      <c r="G25" s="8"/>
      <c r="H25" s="8"/>
      <c r="I25" s="8"/>
      <c r="J25" s="8"/>
      <c r="K25" s="8"/>
      <c r="L25" s="42"/>
      <c r="M25" s="42"/>
      <c r="N25" s="42"/>
      <c r="O25" s="42"/>
      <c r="P25" s="42"/>
      <c r="Q25" s="42"/>
      <c r="R25" s="42"/>
      <c r="S25" s="42"/>
    </row>
    <row r="26" spans="2:19" ht="15.75" x14ac:dyDescent="0.25">
      <c r="B26" s="99"/>
      <c r="C26" s="100"/>
      <c r="D26" s="100"/>
      <c r="E26" s="100"/>
      <c r="F26" s="8"/>
      <c r="G26" s="8"/>
      <c r="H26" s="8"/>
      <c r="I26" s="8"/>
      <c r="J26" s="8"/>
      <c r="K26" s="8"/>
      <c r="L26" s="42"/>
      <c r="M26" s="42"/>
      <c r="N26" s="42"/>
      <c r="O26" s="42"/>
      <c r="P26" s="42"/>
      <c r="Q26" s="42"/>
      <c r="R26" s="42"/>
      <c r="S26" s="42"/>
    </row>
    <row r="27" spans="2:19" ht="15.75" x14ac:dyDescent="0.25">
      <c r="B27" s="40" t="s">
        <v>9</v>
      </c>
      <c r="C27" s="83">
        <v>3</v>
      </c>
      <c r="D27" s="84"/>
      <c r="E27" s="7"/>
      <c r="F27" s="8"/>
      <c r="G27" s="8"/>
      <c r="H27" s="8"/>
      <c r="I27" s="8"/>
      <c r="J27" s="8"/>
      <c r="K27" s="8"/>
      <c r="L27" s="42"/>
      <c r="M27" s="42"/>
      <c r="N27" s="42"/>
      <c r="O27" s="42"/>
      <c r="P27" s="42"/>
      <c r="Q27" s="42"/>
      <c r="R27" s="42"/>
      <c r="S27" s="42"/>
    </row>
    <row r="28" spans="2:19" ht="15.75" x14ac:dyDescent="0.25">
      <c r="B28" s="5" t="s">
        <v>12</v>
      </c>
      <c r="C28" s="83">
        <v>0</v>
      </c>
      <c r="D28" s="84"/>
      <c r="E28" s="7"/>
      <c r="F28" s="8"/>
      <c r="G28" s="8"/>
      <c r="H28" s="8"/>
      <c r="I28" s="8"/>
      <c r="J28" s="8"/>
      <c r="K28" s="8"/>
      <c r="L28" s="42"/>
      <c r="M28" s="42"/>
      <c r="N28" s="42"/>
      <c r="O28" s="42"/>
      <c r="P28" s="42"/>
      <c r="Q28" s="42"/>
      <c r="R28" s="42"/>
      <c r="S28" s="42"/>
    </row>
    <row r="29" spans="2:19" ht="15.75" x14ac:dyDescent="0.25">
      <c r="B29" s="1" t="s">
        <v>14</v>
      </c>
      <c r="C29" s="83">
        <v>0</v>
      </c>
      <c r="D29" s="84"/>
      <c r="E29" s="7"/>
      <c r="F29" s="8"/>
      <c r="G29" s="8"/>
      <c r="H29" s="8"/>
      <c r="I29" s="8"/>
      <c r="J29" s="8"/>
      <c r="K29" s="8"/>
      <c r="L29" s="42"/>
      <c r="M29" s="42"/>
      <c r="N29" s="42"/>
      <c r="O29" s="42"/>
      <c r="P29" s="42"/>
      <c r="Q29" s="42"/>
      <c r="R29" s="42"/>
      <c r="S29" s="42"/>
    </row>
    <row r="30" spans="2:19" ht="15.75" x14ac:dyDescent="0.25">
      <c r="B30" s="1" t="s">
        <v>13</v>
      </c>
      <c r="C30" s="83">
        <v>1</v>
      </c>
      <c r="D30" s="84"/>
      <c r="E30" s="7"/>
      <c r="F30" s="8"/>
      <c r="G30" s="8"/>
      <c r="H30" s="8"/>
      <c r="I30" s="8"/>
      <c r="J30" s="8"/>
      <c r="K30" s="8"/>
      <c r="L30" s="42"/>
      <c r="M30" s="42"/>
      <c r="N30" s="42"/>
      <c r="O30" s="42"/>
      <c r="P30" s="42"/>
      <c r="Q30" s="42"/>
      <c r="R30" s="42"/>
      <c r="S30" s="42"/>
    </row>
    <row r="31" spans="2:19" ht="15.75" x14ac:dyDescent="0.25">
      <c r="B31" s="3" t="s">
        <v>15</v>
      </c>
      <c r="C31" s="83">
        <v>2</v>
      </c>
      <c r="D31" s="84"/>
      <c r="E31" s="7"/>
      <c r="F31" s="8"/>
      <c r="G31" s="8"/>
      <c r="H31" s="8"/>
      <c r="I31" s="8"/>
      <c r="J31" s="8"/>
      <c r="K31" s="8"/>
      <c r="L31" s="42"/>
      <c r="M31" s="42"/>
      <c r="N31" s="42"/>
      <c r="O31" s="42"/>
      <c r="P31" s="42"/>
      <c r="Q31" s="42"/>
      <c r="R31" s="42"/>
      <c r="S31" s="42"/>
    </row>
    <row r="32" spans="2:19" ht="15.75" x14ac:dyDescent="0.25">
      <c r="B32" s="1" t="s">
        <v>16</v>
      </c>
      <c r="C32" s="83">
        <v>0</v>
      </c>
      <c r="D32" s="84"/>
      <c r="E32" s="7"/>
      <c r="F32" s="8"/>
      <c r="G32" s="8"/>
      <c r="H32" s="8"/>
      <c r="I32" s="8"/>
      <c r="J32" s="8"/>
      <c r="K32" s="8"/>
      <c r="L32" s="42"/>
      <c r="M32" s="42"/>
      <c r="N32" s="42"/>
      <c r="O32" s="42"/>
      <c r="P32" s="42"/>
      <c r="Q32" s="42"/>
      <c r="R32" s="42"/>
      <c r="S32" s="42"/>
    </row>
    <row r="33" spans="1:82" ht="15.75" x14ac:dyDescent="0.25">
      <c r="B33" s="4" t="s">
        <v>10</v>
      </c>
      <c r="C33" s="83">
        <v>0</v>
      </c>
      <c r="D33" s="84"/>
      <c r="E33" s="7"/>
      <c r="F33" s="8"/>
      <c r="G33" s="8"/>
      <c r="H33" s="8"/>
      <c r="I33" s="8"/>
      <c r="J33" s="8"/>
      <c r="K33" s="8"/>
      <c r="L33" s="42"/>
      <c r="M33" s="42"/>
      <c r="N33" s="42"/>
      <c r="O33" s="42"/>
      <c r="P33" s="42"/>
      <c r="Q33" s="42"/>
      <c r="R33" s="42"/>
      <c r="S33" s="42"/>
    </row>
    <row r="34" spans="1:82" ht="15.75" x14ac:dyDescent="0.25">
      <c r="B34" s="6" t="s">
        <v>17</v>
      </c>
      <c r="C34" s="83">
        <v>1</v>
      </c>
      <c r="D34" s="84"/>
      <c r="E34" s="7"/>
      <c r="F34" s="8"/>
      <c r="G34" s="8"/>
      <c r="H34" s="8"/>
      <c r="I34" s="8"/>
      <c r="J34" s="8"/>
      <c r="K34" s="8"/>
      <c r="L34" s="42"/>
      <c r="M34" s="42"/>
      <c r="N34" s="42"/>
      <c r="O34" s="42"/>
      <c r="P34" s="42"/>
      <c r="Q34" s="42"/>
      <c r="R34" s="42"/>
      <c r="S34" s="42"/>
    </row>
    <row r="35" spans="1:82" ht="15.75" x14ac:dyDescent="0.25">
      <c r="B35" s="4" t="s">
        <v>17</v>
      </c>
      <c r="C35" s="83">
        <v>1</v>
      </c>
      <c r="D35" s="84"/>
      <c r="E35" s="7"/>
      <c r="F35" s="8"/>
      <c r="G35" s="8"/>
      <c r="H35" s="8"/>
      <c r="I35" s="8"/>
      <c r="J35" s="8"/>
      <c r="K35" s="8"/>
      <c r="L35" s="42"/>
      <c r="M35" s="42"/>
      <c r="N35" s="42"/>
      <c r="O35" s="42"/>
      <c r="P35" s="42"/>
      <c r="Q35" s="42"/>
      <c r="R35" s="42"/>
      <c r="S35" s="42"/>
    </row>
    <row r="36" spans="1:82" x14ac:dyDescent="0.25">
      <c r="B36" s="87"/>
      <c r="C36" s="87"/>
      <c r="D36" s="87"/>
      <c r="E36" s="87"/>
      <c r="F36" s="87"/>
      <c r="G36" s="87"/>
      <c r="H36" s="87"/>
      <c r="I36" s="87"/>
      <c r="J36" s="87"/>
      <c r="K36" s="87"/>
      <c r="L36" s="42"/>
      <c r="M36" s="42"/>
      <c r="N36" s="42"/>
      <c r="O36" s="42"/>
      <c r="P36" s="42"/>
      <c r="Q36" s="42"/>
      <c r="R36" s="42"/>
      <c r="S36" s="42"/>
    </row>
    <row r="37" spans="1:82" x14ac:dyDescent="0.25">
      <c r="B37" s="87"/>
      <c r="C37" s="87"/>
      <c r="D37" s="87"/>
      <c r="E37" s="87"/>
      <c r="F37" s="87"/>
      <c r="G37" s="87"/>
      <c r="H37" s="87"/>
      <c r="I37" s="87"/>
      <c r="J37" s="87"/>
      <c r="K37" s="87"/>
      <c r="L37" s="42"/>
      <c r="M37" s="42"/>
      <c r="N37" s="42"/>
      <c r="O37" s="42"/>
      <c r="P37" s="42"/>
      <c r="Q37" s="42"/>
      <c r="R37" s="42"/>
      <c r="S37" s="42"/>
    </row>
    <row r="38" spans="1:82" x14ac:dyDescent="0.25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</row>
    <row r="39" spans="1:82" ht="33" customHeight="1" x14ac:dyDescent="0.25">
      <c r="B39" s="105" t="s">
        <v>128</v>
      </c>
      <c r="C39" s="106"/>
      <c r="D39" s="106"/>
      <c r="E39" s="106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</row>
    <row r="40" spans="1:82" ht="15.75" x14ac:dyDescent="0.25">
      <c r="B40" s="96" t="s">
        <v>47</v>
      </c>
      <c r="C40" s="97"/>
      <c r="D40" s="98"/>
      <c r="E40" s="48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CD40">
        <v>3</v>
      </c>
    </row>
    <row r="41" spans="1:82" ht="15.75" x14ac:dyDescent="0.25">
      <c r="B41" s="44" t="s">
        <v>48</v>
      </c>
      <c r="C41" s="85">
        <v>3</v>
      </c>
      <c r="D41" s="86"/>
      <c r="E41" s="48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CD41">
        <v>6</v>
      </c>
    </row>
    <row r="42" spans="1:82" ht="15.75" x14ac:dyDescent="0.25">
      <c r="B42" s="45" t="s">
        <v>49</v>
      </c>
      <c r="C42" s="85">
        <v>6</v>
      </c>
      <c r="D42" s="86"/>
      <c r="E42" s="48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CD42" t="s">
        <v>124</v>
      </c>
    </row>
    <row r="43" spans="1:82" ht="15.75" x14ac:dyDescent="0.25">
      <c r="B43" s="44" t="s">
        <v>50</v>
      </c>
      <c r="C43" s="88" t="s">
        <v>124</v>
      </c>
      <c r="D43" s="89"/>
      <c r="E43" s="48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</row>
    <row r="44" spans="1:82" ht="15.75" x14ac:dyDescent="0.25">
      <c r="B44" s="46"/>
      <c r="C44" s="90"/>
      <c r="D44" s="90"/>
      <c r="E44" s="48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</row>
    <row r="45" spans="1:82" ht="15.75" x14ac:dyDescent="0.25">
      <c r="B45" s="102" t="s">
        <v>120</v>
      </c>
      <c r="C45" s="103"/>
      <c r="D45" s="104"/>
      <c r="E45" s="48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</row>
    <row r="46" spans="1:82" ht="15.75" x14ac:dyDescent="0.25">
      <c r="B46" s="47" t="s">
        <v>121</v>
      </c>
      <c r="C46" s="85" t="s">
        <v>101</v>
      </c>
      <c r="D46" s="86"/>
      <c r="E46" s="48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</row>
    <row r="47" spans="1:82" ht="15.75" x14ac:dyDescent="0.25">
      <c r="B47" s="47" t="s">
        <v>122</v>
      </c>
      <c r="C47" s="88" t="s">
        <v>106</v>
      </c>
      <c r="D47" s="86"/>
      <c r="E47" s="48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</row>
    <row r="48" spans="1:82" ht="15.75" x14ac:dyDescent="0.25">
      <c r="B48" s="44" t="s">
        <v>123</v>
      </c>
      <c r="C48" s="85" t="s">
        <v>109</v>
      </c>
      <c r="D48" s="86"/>
      <c r="E48" s="48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</row>
    <row r="49" spans="1:19" x14ac:dyDescent="0.25">
      <c r="B49" s="48"/>
      <c r="C49" s="48"/>
      <c r="D49" s="48"/>
      <c r="E49" s="48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</row>
    <row r="50" spans="1:19" ht="15.75" x14ac:dyDescent="0.25">
      <c r="B50" s="39" t="s">
        <v>110</v>
      </c>
      <c r="C50" s="48"/>
      <c r="D50" s="48"/>
      <c r="E50" s="48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</row>
    <row r="51" spans="1:19" x14ac:dyDescent="0.25">
      <c r="B51" s="57" t="s">
        <v>101</v>
      </c>
      <c r="C51" s="48"/>
      <c r="D51" s="48"/>
      <c r="E51" s="48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</row>
    <row r="52" spans="1:19" x14ac:dyDescent="0.25">
      <c r="B52" s="49" t="s">
        <v>102</v>
      </c>
      <c r="C52" s="48"/>
      <c r="D52" s="48"/>
      <c r="E52" s="48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</row>
    <row r="53" spans="1:19" x14ac:dyDescent="0.25">
      <c r="B53" s="50" t="s">
        <v>105</v>
      </c>
      <c r="C53" s="48"/>
      <c r="D53" s="48"/>
      <c r="E53" s="48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</row>
    <row r="54" spans="1:19" x14ac:dyDescent="0.25">
      <c r="B54" s="50" t="s">
        <v>106</v>
      </c>
      <c r="C54" s="48"/>
      <c r="D54" s="48"/>
      <c r="E54" s="48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</row>
    <row r="55" spans="1:19" x14ac:dyDescent="0.25">
      <c r="B55" s="50" t="s">
        <v>108</v>
      </c>
      <c r="C55" s="48"/>
      <c r="D55" s="48"/>
      <c r="E55" s="48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</row>
    <row r="56" spans="1:19" x14ac:dyDescent="0.25">
      <c r="B56" s="50" t="s">
        <v>109</v>
      </c>
      <c r="C56" s="48"/>
      <c r="D56" s="48"/>
      <c r="E56" s="48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</row>
    <row r="57" spans="1:19" x14ac:dyDescent="0.25">
      <c r="A57" s="42"/>
      <c r="B57" s="42"/>
      <c r="C57" s="42"/>
      <c r="D57" s="42"/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</row>
    <row r="58" spans="1:19" ht="31.15" customHeight="1" x14ac:dyDescent="0.25">
      <c r="B58" s="107" t="s">
        <v>127</v>
      </c>
      <c r="C58" s="108"/>
      <c r="D58" s="108"/>
      <c r="E58" s="108"/>
      <c r="F58" s="42"/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/>
    </row>
    <row r="59" spans="1:19" ht="15.75" x14ac:dyDescent="0.25">
      <c r="B59" s="96" t="s">
        <v>47</v>
      </c>
      <c r="C59" s="97"/>
      <c r="D59" s="98"/>
      <c r="E59" s="53"/>
      <c r="F59" s="42"/>
      <c r="G59" s="42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2"/>
      <c r="S59" s="42"/>
    </row>
    <row r="60" spans="1:19" ht="15.75" x14ac:dyDescent="0.25">
      <c r="B60" s="51" t="s">
        <v>48</v>
      </c>
      <c r="C60" s="80">
        <v>2</v>
      </c>
      <c r="D60" s="81"/>
      <c r="E60" s="53"/>
      <c r="F60" s="42"/>
      <c r="G60" s="42"/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2"/>
      <c r="S60" s="42"/>
    </row>
    <row r="61" spans="1:19" ht="15.75" x14ac:dyDescent="0.25">
      <c r="B61" s="52" t="s">
        <v>49</v>
      </c>
      <c r="C61" s="80">
        <v>2</v>
      </c>
      <c r="D61" s="81"/>
      <c r="E61" s="53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</row>
    <row r="62" spans="1:19" ht="15.75" x14ac:dyDescent="0.25">
      <c r="B62" s="51" t="s">
        <v>50</v>
      </c>
      <c r="C62" s="82" t="s">
        <v>125</v>
      </c>
      <c r="D62" s="82"/>
      <c r="E62" s="53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</row>
    <row r="63" spans="1:19" x14ac:dyDescent="0.25">
      <c r="B63" s="53"/>
      <c r="C63" s="53"/>
      <c r="D63" s="53"/>
      <c r="E63" s="53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</row>
    <row r="64" spans="1:19" ht="15.75" x14ac:dyDescent="0.25">
      <c r="B64" s="101" t="s">
        <v>7</v>
      </c>
      <c r="C64" s="101"/>
      <c r="D64" s="101"/>
      <c r="E64" s="58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</row>
    <row r="65" spans="2:19" ht="15.75" x14ac:dyDescent="0.25">
      <c r="B65" s="52" t="s">
        <v>126</v>
      </c>
      <c r="C65" s="78" t="s">
        <v>55</v>
      </c>
      <c r="D65" s="79"/>
      <c r="E65" s="59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</row>
    <row r="66" spans="2:19" x14ac:dyDescent="0.25">
      <c r="B66" s="53"/>
      <c r="C66" s="53"/>
      <c r="D66" s="53"/>
      <c r="E66" s="53"/>
      <c r="F66" s="42"/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</row>
    <row r="67" spans="2:19" ht="15.75" x14ac:dyDescent="0.25">
      <c r="B67" s="39" t="s">
        <v>110</v>
      </c>
      <c r="C67" s="53"/>
      <c r="D67" s="53"/>
      <c r="E67" s="53"/>
      <c r="F67" s="42"/>
      <c r="G67" s="42"/>
      <c r="H67" s="42"/>
      <c r="I67" s="42"/>
      <c r="J67" s="42"/>
      <c r="K67" s="42"/>
      <c r="L67" s="42"/>
      <c r="M67" s="42"/>
      <c r="N67" s="42"/>
      <c r="O67" s="42"/>
      <c r="P67" s="42"/>
      <c r="Q67" s="42"/>
      <c r="R67" s="42"/>
      <c r="S67" s="42"/>
    </row>
    <row r="68" spans="2:19" ht="15.75" x14ac:dyDescent="0.25">
      <c r="B68" s="51" t="s">
        <v>55</v>
      </c>
      <c r="C68" s="53"/>
      <c r="D68" s="53"/>
      <c r="E68" s="53"/>
      <c r="F68" s="42"/>
      <c r="G68" s="42"/>
      <c r="H68" s="42"/>
      <c r="I68" s="42"/>
      <c r="J68" s="42"/>
      <c r="K68" s="42"/>
      <c r="L68" s="43"/>
      <c r="M68" s="42"/>
      <c r="N68" s="42"/>
      <c r="O68" s="42"/>
      <c r="P68" s="42"/>
      <c r="Q68" s="42"/>
      <c r="R68" s="42"/>
      <c r="S68" s="42"/>
    </row>
    <row r="69" spans="2:19" ht="15.75" x14ac:dyDescent="0.25">
      <c r="B69" s="51" t="s">
        <v>59</v>
      </c>
      <c r="C69" s="53"/>
      <c r="D69" s="53"/>
      <c r="E69" s="53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2"/>
      <c r="R69" s="42"/>
      <c r="S69" s="42"/>
    </row>
  </sheetData>
  <mergeCells count="37">
    <mergeCell ref="B22:E22"/>
    <mergeCell ref="B64:D64"/>
    <mergeCell ref="B59:D59"/>
    <mergeCell ref="B45:D45"/>
    <mergeCell ref="B40:D40"/>
    <mergeCell ref="B23:D23"/>
    <mergeCell ref="B39:E39"/>
    <mergeCell ref="B58:E58"/>
    <mergeCell ref="C34:D34"/>
    <mergeCell ref="C24:D24"/>
    <mergeCell ref="C25:D25"/>
    <mergeCell ref="B26:E26"/>
    <mergeCell ref="C27:D27"/>
    <mergeCell ref="C28:D28"/>
    <mergeCell ref="C29:D29"/>
    <mergeCell ref="C30:D30"/>
    <mergeCell ref="B17:D17"/>
    <mergeCell ref="C19:D19"/>
    <mergeCell ref="C20:D20"/>
    <mergeCell ref="C21:D21"/>
    <mergeCell ref="B18:D18"/>
    <mergeCell ref="C65:D65"/>
    <mergeCell ref="C60:D60"/>
    <mergeCell ref="C61:D61"/>
    <mergeCell ref="C62:D62"/>
    <mergeCell ref="C31:D31"/>
    <mergeCell ref="C32:D32"/>
    <mergeCell ref="C33:D33"/>
    <mergeCell ref="C48:D48"/>
    <mergeCell ref="C35:D35"/>
    <mergeCell ref="B36:K37"/>
    <mergeCell ref="C41:D41"/>
    <mergeCell ref="C42:D42"/>
    <mergeCell ref="C43:D43"/>
    <mergeCell ref="C44:D44"/>
    <mergeCell ref="C46:D46"/>
    <mergeCell ref="C47:D47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3" tint="0.59999389629810485"/>
  </sheetPr>
  <dimension ref="B1:O51"/>
  <sheetViews>
    <sheetView zoomScale="80" zoomScaleNormal="80" workbookViewId="0"/>
  </sheetViews>
  <sheetFormatPr defaultRowHeight="15" x14ac:dyDescent="0.25"/>
  <cols>
    <col min="1" max="1" width="36.28515625" customWidth="1"/>
    <col min="2" max="9" width="16" customWidth="1"/>
    <col min="10" max="10" width="20.42578125" customWidth="1"/>
    <col min="11" max="11" width="15.140625" customWidth="1"/>
  </cols>
  <sheetData>
    <row r="1" spans="2:15" x14ac:dyDescent="0.25"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</row>
    <row r="2" spans="2:15" x14ac:dyDescent="0.25"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</row>
    <row r="3" spans="2:15" x14ac:dyDescent="0.25"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</row>
    <row r="4" spans="2:15" x14ac:dyDescent="0.25"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</row>
    <row r="5" spans="2:15" x14ac:dyDescent="0.25"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</row>
    <row r="6" spans="2:15" x14ac:dyDescent="0.25"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</row>
    <row r="7" spans="2:15" x14ac:dyDescent="0.25"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</row>
    <row r="8" spans="2:15" x14ac:dyDescent="0.25"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</row>
    <row r="9" spans="2:15" x14ac:dyDescent="0.25"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</row>
    <row r="10" spans="2:15" x14ac:dyDescent="0.25"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</row>
    <row r="11" spans="2:15" x14ac:dyDescent="0.25"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</row>
    <row r="12" spans="2:15" x14ac:dyDescent="0.25"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</row>
    <row r="13" spans="2:15" x14ac:dyDescent="0.25">
      <c r="B13" s="12" t="s">
        <v>0</v>
      </c>
      <c r="C13" s="12" t="s">
        <v>1</v>
      </c>
      <c r="D13" s="12" t="s">
        <v>2</v>
      </c>
      <c r="E13" s="12" t="s">
        <v>3</v>
      </c>
      <c r="F13" s="12" t="s">
        <v>4</v>
      </c>
      <c r="G13" s="12" t="s">
        <v>5</v>
      </c>
      <c r="H13" s="12" t="s">
        <v>6</v>
      </c>
      <c r="I13" s="12" t="s">
        <v>7</v>
      </c>
      <c r="J13" s="12" t="s">
        <v>8</v>
      </c>
      <c r="K13" s="42"/>
      <c r="L13" s="42"/>
      <c r="M13" s="42"/>
      <c r="N13" s="42"/>
      <c r="O13" s="42"/>
    </row>
    <row r="14" spans="2:15" x14ac:dyDescent="0.25">
      <c r="B14">
        <v>1</v>
      </c>
      <c r="C14" t="s">
        <v>53</v>
      </c>
      <c r="D14" s="13">
        <v>45699</v>
      </c>
      <c r="E14" t="s">
        <v>9</v>
      </c>
      <c r="F14" t="s">
        <v>10</v>
      </c>
      <c r="G14">
        <v>3</v>
      </c>
      <c r="H14">
        <v>1</v>
      </c>
      <c r="I14" t="str">
        <f>IF(AND(G14="",H14=""), "-", IF(G14&gt; H14, E14, IF(H14 &gt; G14, F14, "DRAW")))</f>
        <v>SADA</v>
      </c>
      <c r="J14" t="s">
        <v>11</v>
      </c>
      <c r="K14" s="42"/>
      <c r="L14" s="42"/>
      <c r="M14" s="42"/>
      <c r="N14" s="42"/>
      <c r="O14" s="42"/>
    </row>
    <row r="15" spans="2:15" x14ac:dyDescent="0.25">
      <c r="B15">
        <v>2</v>
      </c>
      <c r="C15" t="s">
        <v>53</v>
      </c>
      <c r="D15" s="13">
        <v>45699</v>
      </c>
      <c r="E15" t="s">
        <v>12</v>
      </c>
      <c r="F15" t="s">
        <v>13</v>
      </c>
      <c r="G15">
        <v>1</v>
      </c>
      <c r="H15">
        <v>3</v>
      </c>
      <c r="I15" t="str">
        <f t="shared" ref="I15:I20" si="0">IF(AND(G15="",H15=""), "-", IF(G15&gt; H15, E15, IF(H15 &gt; G15, F15, "DRAW")))</f>
        <v>KIM</v>
      </c>
      <c r="J15" t="s">
        <v>11</v>
      </c>
      <c r="K15" s="42"/>
      <c r="L15" s="42"/>
      <c r="M15" s="42"/>
      <c r="N15" s="42"/>
      <c r="O15" s="42"/>
    </row>
    <row r="16" spans="2:15" x14ac:dyDescent="0.25">
      <c r="B16">
        <v>3</v>
      </c>
      <c r="C16" t="s">
        <v>53</v>
      </c>
      <c r="D16" s="13">
        <v>45727</v>
      </c>
      <c r="E16" t="s">
        <v>14</v>
      </c>
      <c r="F16" t="s">
        <v>15</v>
      </c>
      <c r="G16">
        <v>2</v>
      </c>
      <c r="H16">
        <v>3</v>
      </c>
      <c r="I16" t="str">
        <f t="shared" si="0"/>
        <v>IPA</v>
      </c>
      <c r="J16" t="s">
        <v>11</v>
      </c>
      <c r="K16" s="42"/>
      <c r="L16" s="42"/>
      <c r="M16" s="42"/>
      <c r="N16" s="42"/>
      <c r="O16" s="42"/>
    </row>
    <row r="17" spans="2:15" x14ac:dyDescent="0.25">
      <c r="B17">
        <v>4</v>
      </c>
      <c r="C17" t="s">
        <v>53</v>
      </c>
      <c r="D17" s="13">
        <v>45727</v>
      </c>
      <c r="E17" t="s">
        <v>16</v>
      </c>
      <c r="F17" t="s">
        <v>17</v>
      </c>
      <c r="G17">
        <v>0</v>
      </c>
      <c r="H17">
        <v>3</v>
      </c>
      <c r="I17" t="str">
        <f t="shared" si="0"/>
        <v>P.BIO</v>
      </c>
      <c r="J17" t="s">
        <v>11</v>
      </c>
      <c r="K17" s="42"/>
      <c r="L17" s="42"/>
      <c r="M17" s="42"/>
      <c r="N17" s="42"/>
      <c r="O17" s="42"/>
    </row>
    <row r="18" spans="2:15" x14ac:dyDescent="0.25">
      <c r="B18">
        <v>5</v>
      </c>
      <c r="C18" t="s">
        <v>18</v>
      </c>
      <c r="D18" s="13">
        <v>45819</v>
      </c>
      <c r="E18" t="s">
        <v>9</v>
      </c>
      <c r="F18" t="s">
        <v>13</v>
      </c>
      <c r="G18">
        <v>3</v>
      </c>
      <c r="H18">
        <v>2</v>
      </c>
      <c r="I18" t="str">
        <f t="shared" si="0"/>
        <v>SADA</v>
      </c>
      <c r="J18" t="s">
        <v>19</v>
      </c>
      <c r="K18" s="42"/>
      <c r="L18" s="42"/>
      <c r="M18" s="42"/>
      <c r="N18" s="42"/>
      <c r="O18" s="42"/>
    </row>
    <row r="19" spans="2:15" x14ac:dyDescent="0.25">
      <c r="B19">
        <v>6</v>
      </c>
      <c r="C19" t="s">
        <v>18</v>
      </c>
      <c r="D19" s="13">
        <v>45819</v>
      </c>
      <c r="E19" t="s">
        <v>15</v>
      </c>
      <c r="F19" t="s">
        <v>17</v>
      </c>
      <c r="G19">
        <v>3</v>
      </c>
      <c r="H19">
        <v>1</v>
      </c>
      <c r="I19" t="str">
        <f t="shared" si="0"/>
        <v>IPA</v>
      </c>
      <c r="J19" t="s">
        <v>19</v>
      </c>
      <c r="K19" s="42"/>
      <c r="L19" s="42"/>
      <c r="M19" s="42"/>
      <c r="N19" s="42"/>
      <c r="O19" s="42"/>
    </row>
    <row r="20" spans="2:15" x14ac:dyDescent="0.25">
      <c r="B20">
        <v>7</v>
      </c>
      <c r="C20" t="s">
        <v>20</v>
      </c>
      <c r="D20" s="13">
        <v>45911</v>
      </c>
      <c r="E20" t="s">
        <v>9</v>
      </c>
      <c r="F20" t="s">
        <v>15</v>
      </c>
      <c r="G20">
        <v>3</v>
      </c>
      <c r="H20">
        <v>0</v>
      </c>
      <c r="I20" t="str">
        <f t="shared" si="0"/>
        <v>SADA</v>
      </c>
      <c r="J20" t="s">
        <v>21</v>
      </c>
      <c r="K20" s="42"/>
      <c r="L20" s="42"/>
      <c r="M20" s="42"/>
      <c r="N20" s="42"/>
      <c r="O20" s="42"/>
    </row>
    <row r="21" spans="2:15" x14ac:dyDescent="0.25"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</row>
    <row r="22" spans="2:15" x14ac:dyDescent="0.25"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</row>
    <row r="23" spans="2:15" x14ac:dyDescent="0.25"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</row>
    <row r="24" spans="2:15" x14ac:dyDescent="0.25">
      <c r="B24" s="42"/>
      <c r="C24" s="42"/>
      <c r="D24" s="42"/>
      <c r="E24" s="42"/>
      <c r="F24" s="42"/>
      <c r="G24" s="42"/>
      <c r="H24" s="42"/>
      <c r="I24" s="42"/>
      <c r="J24" s="42" t="s">
        <v>54</v>
      </c>
      <c r="K24" s="42"/>
      <c r="L24" s="42"/>
      <c r="M24" s="42"/>
      <c r="N24" s="42"/>
      <c r="O24" s="42"/>
    </row>
    <row r="25" spans="2:15" x14ac:dyDescent="0.25"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</row>
    <row r="26" spans="2:15" x14ac:dyDescent="0.25"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</row>
    <row r="27" spans="2:15" x14ac:dyDescent="0.25"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</row>
    <row r="28" spans="2:15" x14ac:dyDescent="0.25"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</row>
    <row r="29" spans="2:15" x14ac:dyDescent="0.25">
      <c r="B29" s="12" t="s">
        <v>0</v>
      </c>
      <c r="C29" s="12" t="s">
        <v>1</v>
      </c>
      <c r="D29" s="12" t="s">
        <v>3</v>
      </c>
      <c r="E29" s="12" t="s">
        <v>4</v>
      </c>
      <c r="F29" s="12" t="s">
        <v>22</v>
      </c>
      <c r="G29" s="12" t="s">
        <v>23</v>
      </c>
      <c r="H29" s="12" t="s">
        <v>24</v>
      </c>
      <c r="I29" s="12" t="s">
        <v>25</v>
      </c>
      <c r="J29" s="12" t="s">
        <v>26</v>
      </c>
      <c r="K29" s="12" t="s">
        <v>7</v>
      </c>
      <c r="L29" s="42"/>
      <c r="M29" s="42"/>
      <c r="N29" s="42"/>
      <c r="O29" s="42"/>
    </row>
    <row r="30" spans="2:15" x14ac:dyDescent="0.25">
      <c r="B30">
        <v>1</v>
      </c>
      <c r="C30" t="s">
        <v>53</v>
      </c>
      <c r="D30" t="s">
        <v>9</v>
      </c>
      <c r="E30" t="s">
        <v>10</v>
      </c>
      <c r="F30" t="s">
        <v>27</v>
      </c>
      <c r="G30" t="s">
        <v>28</v>
      </c>
      <c r="H30" t="s">
        <v>33</v>
      </c>
      <c r="I30" t="s">
        <v>29</v>
      </c>
      <c r="K30" t="s">
        <v>9</v>
      </c>
      <c r="L30" s="42"/>
      <c r="M30" s="42"/>
      <c r="N30" s="42"/>
      <c r="O30" s="42"/>
    </row>
    <row r="31" spans="2:15" x14ac:dyDescent="0.25">
      <c r="B31">
        <v>2</v>
      </c>
      <c r="C31" t="s">
        <v>53</v>
      </c>
      <c r="D31" t="s">
        <v>12</v>
      </c>
      <c r="E31" t="s">
        <v>13</v>
      </c>
      <c r="F31" t="s">
        <v>30</v>
      </c>
      <c r="G31" t="s">
        <v>31</v>
      </c>
      <c r="H31" t="s">
        <v>32</v>
      </c>
      <c r="I31" t="s">
        <v>33</v>
      </c>
      <c r="K31" t="s">
        <v>13</v>
      </c>
      <c r="L31" s="42"/>
      <c r="M31" s="42"/>
      <c r="N31" s="42"/>
      <c r="O31" s="42"/>
    </row>
    <row r="32" spans="2:15" x14ac:dyDescent="0.25">
      <c r="B32">
        <v>3</v>
      </c>
      <c r="C32" t="s">
        <v>53</v>
      </c>
      <c r="D32" t="s">
        <v>14</v>
      </c>
      <c r="E32" t="s">
        <v>15</v>
      </c>
      <c r="F32" t="s">
        <v>34</v>
      </c>
      <c r="G32" t="s">
        <v>35</v>
      </c>
      <c r="H32" t="s">
        <v>30</v>
      </c>
      <c r="I32" t="s">
        <v>36</v>
      </c>
      <c r="J32" t="s">
        <v>37</v>
      </c>
      <c r="K32" t="s">
        <v>15</v>
      </c>
      <c r="L32" s="42"/>
      <c r="M32" s="42"/>
      <c r="N32" s="42"/>
      <c r="O32" s="42"/>
    </row>
    <row r="33" spans="2:15" x14ac:dyDescent="0.25">
      <c r="B33">
        <v>4</v>
      </c>
      <c r="C33" t="s">
        <v>53</v>
      </c>
      <c r="D33" t="s">
        <v>16</v>
      </c>
      <c r="E33" t="s">
        <v>17</v>
      </c>
      <c r="F33" t="s">
        <v>32</v>
      </c>
      <c r="G33" t="s">
        <v>30</v>
      </c>
      <c r="H33" t="s">
        <v>33</v>
      </c>
      <c r="K33" t="s">
        <v>17</v>
      </c>
      <c r="L33" s="42"/>
      <c r="M33" s="42"/>
      <c r="N33" s="42"/>
      <c r="O33" s="42"/>
    </row>
    <row r="34" spans="2:15" x14ac:dyDescent="0.25">
      <c r="B34">
        <v>5</v>
      </c>
      <c r="C34" t="s">
        <v>18</v>
      </c>
      <c r="D34" t="s">
        <v>9</v>
      </c>
      <c r="E34" t="s">
        <v>13</v>
      </c>
      <c r="F34" t="s">
        <v>36</v>
      </c>
      <c r="G34" t="s">
        <v>30</v>
      </c>
      <c r="H34" t="s">
        <v>38</v>
      </c>
      <c r="I34" t="s">
        <v>33</v>
      </c>
      <c r="J34" t="s">
        <v>39</v>
      </c>
      <c r="K34" t="s">
        <v>9</v>
      </c>
      <c r="L34" s="42"/>
      <c r="M34" s="42"/>
      <c r="N34" s="42"/>
      <c r="O34" s="42"/>
    </row>
    <row r="35" spans="2:15" x14ac:dyDescent="0.25">
      <c r="B35">
        <v>6</v>
      </c>
      <c r="C35" t="s">
        <v>18</v>
      </c>
      <c r="D35" t="s">
        <v>15</v>
      </c>
      <c r="E35" t="s">
        <v>17</v>
      </c>
      <c r="F35" t="s">
        <v>31</v>
      </c>
      <c r="G35" t="s">
        <v>30</v>
      </c>
      <c r="H35" t="s">
        <v>29</v>
      </c>
      <c r="I35" t="s">
        <v>28</v>
      </c>
      <c r="K35" t="s">
        <v>15</v>
      </c>
      <c r="L35" s="42"/>
      <c r="M35" s="42"/>
      <c r="N35" s="42"/>
      <c r="O35" s="42"/>
    </row>
    <row r="36" spans="2:15" x14ac:dyDescent="0.25">
      <c r="B36">
        <v>7</v>
      </c>
      <c r="C36" t="s">
        <v>20</v>
      </c>
      <c r="D36" t="s">
        <v>9</v>
      </c>
      <c r="E36" t="s">
        <v>15</v>
      </c>
      <c r="F36" t="s">
        <v>36</v>
      </c>
      <c r="G36" t="s">
        <v>31</v>
      </c>
      <c r="H36" t="s">
        <v>38</v>
      </c>
      <c r="K36" t="s">
        <v>9</v>
      </c>
      <c r="L36" s="42"/>
      <c r="M36" s="42"/>
      <c r="N36" s="42"/>
      <c r="O36" s="42"/>
    </row>
    <row r="37" spans="2:15" x14ac:dyDescent="0.25"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</row>
    <row r="38" spans="2:15" x14ac:dyDescent="0.25"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</row>
    <row r="39" spans="2:15" x14ac:dyDescent="0.25"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</row>
    <row r="40" spans="2:15" x14ac:dyDescent="0.25"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</row>
    <row r="41" spans="2:15" x14ac:dyDescent="0.25"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</row>
    <row r="42" spans="2:15" x14ac:dyDescent="0.25"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</row>
    <row r="43" spans="2:15" x14ac:dyDescent="0.25">
      <c r="B43" s="15" t="s">
        <v>40</v>
      </c>
      <c r="C43" s="16" t="s">
        <v>41</v>
      </c>
      <c r="D43" s="16" t="s">
        <v>42</v>
      </c>
      <c r="E43" s="16" t="s">
        <v>43</v>
      </c>
      <c r="F43" s="16" t="s">
        <v>44</v>
      </c>
      <c r="G43" s="16" t="s">
        <v>45</v>
      </c>
      <c r="H43" s="17" t="s">
        <v>46</v>
      </c>
      <c r="I43" s="42"/>
      <c r="J43" s="42"/>
      <c r="K43" s="42"/>
      <c r="L43" s="42"/>
      <c r="M43" s="42"/>
      <c r="N43" s="42"/>
      <c r="O43" s="42"/>
    </row>
    <row r="44" spans="2:15" x14ac:dyDescent="0.25">
      <c r="B44" s="14" t="s">
        <v>9</v>
      </c>
      <c r="C44" s="14">
        <f ca="1">COUNTIFS(Voli!E:E,B44)+COUNTIFS(Voli!F:F,B44)</f>
        <v>3</v>
      </c>
      <c r="D44" s="14">
        <f>COUNTIF(Voli!I:I,B44)</f>
        <v>3</v>
      </c>
      <c r="E44" s="14">
        <f t="shared" ref="E44:E51" ca="1" si="1">C44-D44</f>
        <v>0</v>
      </c>
      <c r="F44" s="14">
        <f ca="1">SUMIFS(Voli!G:G,Voli!E:E,B44)+SUMIFS(Voli!H:H,Voli!F:F,B44)</f>
        <v>9</v>
      </c>
      <c r="G44" s="14">
        <f ca="1">SUMIFS(Voli!H:H,Voli!E:E,B44)+SUMIFS(Voli!G:G,Voli!F:F,B44)</f>
        <v>3</v>
      </c>
      <c r="H44" s="14">
        <f t="shared" ref="H44:H51" si="2">D44*2</f>
        <v>6</v>
      </c>
      <c r="I44" s="42"/>
      <c r="J44" s="42"/>
      <c r="K44" s="42"/>
      <c r="L44" s="42"/>
      <c r="M44" s="42"/>
      <c r="N44" s="42"/>
      <c r="O44" s="42"/>
    </row>
    <row r="45" spans="2:15" x14ac:dyDescent="0.25">
      <c r="B45" s="14" t="s">
        <v>12</v>
      </c>
      <c r="C45" s="14">
        <f ca="1">COUNTIFS(Voli!E:E,B45)+COUNTIFS(Voli!F:F,B45)</f>
        <v>1</v>
      </c>
      <c r="D45" s="14">
        <f>COUNTIF(Voli!I:I,B45)</f>
        <v>0</v>
      </c>
      <c r="E45" s="14">
        <f t="shared" ca="1" si="1"/>
        <v>1</v>
      </c>
      <c r="F45" s="14">
        <f ca="1">SUMIFS(Voli!G:G,Voli!E:E,B45)+SUMIFS(Voli!H:H,Voli!F:F,B45)</f>
        <v>1</v>
      </c>
      <c r="G45" s="14">
        <f ca="1">SUMIFS(Voli!H:H,Voli!E:E,B45)+SUMIFS(Voli!G:G,Voli!F:F,B45)</f>
        <v>3</v>
      </c>
      <c r="H45" s="14">
        <f t="shared" si="2"/>
        <v>0</v>
      </c>
      <c r="I45" s="42"/>
      <c r="J45" s="42"/>
      <c r="K45" s="42"/>
      <c r="L45" s="42"/>
      <c r="M45" s="42"/>
      <c r="N45" s="42"/>
      <c r="O45" s="42"/>
    </row>
    <row r="46" spans="2:15" x14ac:dyDescent="0.25">
      <c r="B46" s="14" t="s">
        <v>14</v>
      </c>
      <c r="C46" s="14">
        <f ca="1">COUNTIFS(Voli!E:E,B46)+COUNTIFS(Voli!F:F,B46)</f>
        <v>1</v>
      </c>
      <c r="D46" s="14">
        <f>COUNTIF(Voli!I:I,B46)</f>
        <v>0</v>
      </c>
      <c r="E46" s="14">
        <f t="shared" ca="1" si="1"/>
        <v>1</v>
      </c>
      <c r="F46" s="14">
        <f ca="1">SUMIFS(Voli!G:G,Voli!E:E,B46)+SUMIFS(Voli!H:H,Voli!F:F,B46)</f>
        <v>2</v>
      </c>
      <c r="G46" s="14">
        <f ca="1">SUMIFS(Voli!H:H,Voli!E:E,B46)+SUMIFS(Voli!G:G,Voli!F:F,B46)</f>
        <v>3</v>
      </c>
      <c r="H46" s="14">
        <f t="shared" si="2"/>
        <v>0</v>
      </c>
      <c r="I46" s="42"/>
      <c r="J46" s="42"/>
      <c r="K46" s="42"/>
      <c r="L46" s="42"/>
      <c r="M46" s="42"/>
      <c r="N46" s="42"/>
      <c r="O46" s="42"/>
    </row>
    <row r="47" spans="2:15" x14ac:dyDescent="0.25">
      <c r="B47" s="14" t="s">
        <v>13</v>
      </c>
      <c r="C47" s="14">
        <f ca="1">COUNTIFS(Voli!E:E,B47)+COUNTIFS(Voli!F:F,B47)</f>
        <v>4</v>
      </c>
      <c r="D47" s="14">
        <f>COUNTIF(Voli!I:I,B47)</f>
        <v>1</v>
      </c>
      <c r="E47" s="14">
        <f t="shared" ca="1" si="1"/>
        <v>3</v>
      </c>
      <c r="F47" s="14">
        <f ca="1">SUMIFS(Voli!G:G,Voli!E:E,B47)+SUMIFS(Voli!H:H,Voli!F:F,B47)</f>
        <v>5</v>
      </c>
      <c r="G47" s="14">
        <f ca="1">SUMIFS(Voli!H:H,Voli!E:E,B47)+SUMIFS(Voli!G:G,Voli!F:F,B47)</f>
        <v>4</v>
      </c>
      <c r="H47" s="14">
        <f t="shared" si="2"/>
        <v>2</v>
      </c>
      <c r="I47" s="42"/>
      <c r="J47" s="42"/>
      <c r="K47" s="42"/>
      <c r="L47" s="42"/>
      <c r="M47" s="42"/>
      <c r="N47" s="42"/>
      <c r="O47" s="42"/>
    </row>
    <row r="48" spans="2:15" x14ac:dyDescent="0.25">
      <c r="B48" s="14" t="s">
        <v>15</v>
      </c>
      <c r="C48" s="14">
        <f ca="1">COUNTIFS(Voli!E:E,B48)+COUNTIFS(Voli!F:F,B48)</f>
        <v>5</v>
      </c>
      <c r="D48" s="14">
        <f>COUNTIF(Voli!I:I,B48)</f>
        <v>2</v>
      </c>
      <c r="E48" s="14">
        <f t="shared" ca="1" si="1"/>
        <v>3</v>
      </c>
      <c r="F48" s="14">
        <f ca="1">SUMIFS(Voli!G:G,Voli!E:E,B48)+SUMIFS(Voli!H:H,Voli!F:F,B48)</f>
        <v>6</v>
      </c>
      <c r="G48" s="14">
        <f ca="1">SUMIFS(Voli!H:H,Voli!E:E,B48)+SUMIFS(Voli!G:G,Voli!F:F,B48)</f>
        <v>6</v>
      </c>
      <c r="H48" s="14">
        <f t="shared" si="2"/>
        <v>4</v>
      </c>
      <c r="I48" s="42"/>
      <c r="J48" s="42"/>
      <c r="K48" s="42"/>
      <c r="L48" s="42"/>
      <c r="M48" s="42"/>
      <c r="N48" s="42"/>
      <c r="O48" s="42"/>
    </row>
    <row r="49" spans="2:15" x14ac:dyDescent="0.25">
      <c r="B49" s="14" t="s">
        <v>16</v>
      </c>
      <c r="C49" s="14">
        <f ca="1">COUNTIFS(Voli!E:E,B49)+COUNTIFS(Voli!F:F,B49)</f>
        <v>1</v>
      </c>
      <c r="D49" s="14">
        <f>COUNTIF(Voli!I:I,B49)</f>
        <v>0</v>
      </c>
      <c r="E49" s="14">
        <f t="shared" ca="1" si="1"/>
        <v>1</v>
      </c>
      <c r="F49" s="14">
        <f ca="1">SUMIFS(Voli!G:G,Voli!E:E,B49)+SUMIFS(Voli!H:H,Voli!F:F,B49)</f>
        <v>0</v>
      </c>
      <c r="G49" s="14">
        <f ca="1">SUMIFS(Voli!H:H,Voli!E:E,B49)+SUMIFS(Voli!G:G,Voli!F:F,B49)</f>
        <v>3</v>
      </c>
      <c r="H49" s="14">
        <f t="shared" si="2"/>
        <v>0</v>
      </c>
      <c r="I49" s="42"/>
      <c r="J49" s="42"/>
      <c r="K49" s="42"/>
      <c r="L49" s="42"/>
      <c r="M49" s="42"/>
      <c r="N49" s="42"/>
      <c r="O49" s="42"/>
    </row>
    <row r="50" spans="2:15" x14ac:dyDescent="0.25">
      <c r="B50" s="14" t="s">
        <v>10</v>
      </c>
      <c r="C50" s="14">
        <f ca="1">COUNTIFS(Voli!E:E,B50)+COUNTIFS(Voli!F:F,B50)</f>
        <v>2</v>
      </c>
      <c r="D50" s="14">
        <f>COUNTIF(Voli!I:I,B50)</f>
        <v>0</v>
      </c>
      <c r="E50" s="14">
        <f t="shared" ca="1" si="1"/>
        <v>2</v>
      </c>
      <c r="F50" s="14">
        <f ca="1">SUMIFS(Voli!G:G,Voli!E:E,B50)+SUMIFS(Voli!H:H,Voli!F:F,B50)</f>
        <v>1</v>
      </c>
      <c r="G50" s="14">
        <f ca="1">SUMIFS(Voli!H:H,Voli!E:E,B50)+SUMIFS(Voli!G:G,Voli!F:F,B50)</f>
        <v>3</v>
      </c>
      <c r="H50" s="14">
        <f t="shared" si="2"/>
        <v>0</v>
      </c>
      <c r="I50" s="42"/>
      <c r="J50" s="42"/>
      <c r="K50" s="42"/>
      <c r="L50" s="42"/>
      <c r="M50" s="42"/>
      <c r="N50" s="42"/>
      <c r="O50" s="42"/>
    </row>
    <row r="51" spans="2:15" x14ac:dyDescent="0.25">
      <c r="B51" s="14" t="s">
        <v>17</v>
      </c>
      <c r="C51" s="14">
        <f ca="1">COUNTIFS(Voli!E:E,B51)+COUNTIFS(Voli!F:F,B51)</f>
        <v>4</v>
      </c>
      <c r="D51" s="14">
        <f>COUNTIF(Voli!I:I,B51)</f>
        <v>1</v>
      </c>
      <c r="E51" s="14">
        <f t="shared" ca="1" si="1"/>
        <v>3</v>
      </c>
      <c r="F51" s="14">
        <f ca="1">SUMIFS(Voli!G:G,Voli!E:E,B51)+SUMIFS(Voli!H:H,Voli!F:F,B51)</f>
        <v>4</v>
      </c>
      <c r="G51" s="14">
        <f ca="1">SUMIFS(Voli!H:H,Voli!E:E,B51)+SUMIFS(Voli!G:G,Voli!F:F,B51)</f>
        <v>3</v>
      </c>
      <c r="H51" s="14">
        <f t="shared" si="2"/>
        <v>2</v>
      </c>
      <c r="I51" s="42"/>
      <c r="J51" s="42"/>
      <c r="K51" s="42"/>
      <c r="L51" s="42"/>
      <c r="M51" s="42"/>
      <c r="N51" s="42"/>
      <c r="O51" s="42"/>
    </row>
  </sheetData>
  <phoneticPr fontId="4" type="noConversion"/>
  <pageMargins left="0.75" right="0.75" top="1" bottom="1" header="0.5" footer="0.5"/>
  <drawing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A05DF-4D73-42D5-BDBD-E2194B8AE76E}">
  <sheetPr codeName="Sheet3">
    <tabColor theme="3" tint="0.59999389629810485"/>
  </sheetPr>
  <dimension ref="B1:P35"/>
  <sheetViews>
    <sheetView zoomScale="80" zoomScaleNormal="80" workbookViewId="0"/>
  </sheetViews>
  <sheetFormatPr defaultRowHeight="15" x14ac:dyDescent="0.25"/>
  <cols>
    <col min="1" max="1" width="36.28515625" customWidth="1"/>
    <col min="4" max="4" width="28.28515625" customWidth="1"/>
    <col min="5" max="5" width="16" customWidth="1"/>
    <col min="6" max="6" width="16.140625" customWidth="1"/>
    <col min="7" max="7" width="24" customWidth="1"/>
    <col min="8" max="8" width="25.28515625" customWidth="1"/>
    <col min="9" max="9" width="24.85546875" customWidth="1"/>
    <col min="10" max="10" width="21.5703125" customWidth="1"/>
    <col min="11" max="11" width="17.28515625" customWidth="1"/>
    <col min="12" max="12" width="28.42578125" customWidth="1"/>
  </cols>
  <sheetData>
    <row r="1" spans="2:16" x14ac:dyDescent="0.25">
      <c r="B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</row>
    <row r="2" spans="2:16" x14ac:dyDescent="0.25">
      <c r="B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</row>
    <row r="3" spans="2:16" x14ac:dyDescent="0.25">
      <c r="B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</row>
    <row r="4" spans="2:16" x14ac:dyDescent="0.25">
      <c r="B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</row>
    <row r="5" spans="2:16" x14ac:dyDescent="0.25"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</row>
    <row r="6" spans="2:16" x14ac:dyDescent="0.25"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</row>
    <row r="7" spans="2:16" x14ac:dyDescent="0.25"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</row>
    <row r="8" spans="2:16" x14ac:dyDescent="0.25"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</row>
    <row r="9" spans="2:16" ht="36" x14ac:dyDescent="0.25">
      <c r="B9" s="42"/>
      <c r="C9" s="42"/>
      <c r="D9" s="54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</row>
    <row r="10" spans="2:16" ht="27" customHeight="1" x14ac:dyDescent="0.25"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</row>
    <row r="11" spans="2:16" ht="53.25" customHeight="1" x14ac:dyDescent="0.25">
      <c r="B11" s="42"/>
      <c r="C11" s="42"/>
      <c r="D11" s="21" t="s">
        <v>93</v>
      </c>
      <c r="E11" s="23" t="s">
        <v>2</v>
      </c>
      <c r="F11" s="23" t="s">
        <v>94</v>
      </c>
      <c r="G11" s="18" t="s">
        <v>95</v>
      </c>
      <c r="H11" s="26" t="s">
        <v>96</v>
      </c>
      <c r="I11" s="23" t="s">
        <v>97</v>
      </c>
      <c r="J11" s="21" t="s">
        <v>98</v>
      </c>
      <c r="K11" s="18" t="s">
        <v>7</v>
      </c>
      <c r="L11" s="42"/>
      <c r="M11" s="42"/>
      <c r="N11" s="42"/>
      <c r="O11" s="42"/>
      <c r="P11" s="42"/>
    </row>
    <row r="12" spans="2:16" x14ac:dyDescent="0.25">
      <c r="B12" s="42"/>
      <c r="C12" s="42"/>
      <c r="D12" s="28" t="s">
        <v>99</v>
      </c>
      <c r="E12" s="29">
        <v>46001</v>
      </c>
      <c r="F12" s="28" t="s">
        <v>100</v>
      </c>
      <c r="G12" s="30" t="s">
        <v>101</v>
      </c>
      <c r="H12" s="28">
        <v>89</v>
      </c>
      <c r="I12" s="28" t="s">
        <v>102</v>
      </c>
      <c r="J12" s="31">
        <v>85</v>
      </c>
      <c r="K12" s="31" t="str">
        <f>IF(AND(H12="",J12=""), "-", IF(H12 &gt; J12, G12, IF(J12 &gt; H12, I12, "DRAW")))</f>
        <v>Patriots</v>
      </c>
      <c r="L12" s="42"/>
      <c r="M12" s="42"/>
      <c r="N12" s="42"/>
      <c r="O12" s="42"/>
      <c r="P12" s="42"/>
    </row>
    <row r="13" spans="2:16" x14ac:dyDescent="0.25">
      <c r="B13" s="42"/>
      <c r="C13" s="42"/>
      <c r="D13" s="31" t="s">
        <v>103</v>
      </c>
      <c r="E13" s="29">
        <v>46002</v>
      </c>
      <c r="F13" s="28" t="s">
        <v>104</v>
      </c>
      <c r="G13" s="30" t="s">
        <v>105</v>
      </c>
      <c r="H13" s="28">
        <v>115</v>
      </c>
      <c r="I13" s="28" t="s">
        <v>106</v>
      </c>
      <c r="J13" s="31">
        <v>120</v>
      </c>
      <c r="K13" s="31" t="str">
        <f t="shared" ref="K13:K14" si="0">IF(AND(H13="",J13=""), "-", IF(H13 &gt; J13, G13, IF(J13 &gt; H13, I13, "DRAW")))</f>
        <v>Suns</v>
      </c>
      <c r="L13" s="42"/>
      <c r="M13" s="42"/>
      <c r="N13" s="42"/>
      <c r="O13" s="42"/>
      <c r="P13" s="42"/>
    </row>
    <row r="14" spans="2:16" x14ac:dyDescent="0.25">
      <c r="B14" s="42"/>
      <c r="C14" s="42"/>
      <c r="D14" s="22" t="s">
        <v>107</v>
      </c>
      <c r="E14" s="24">
        <v>46003</v>
      </c>
      <c r="F14" s="25" t="s">
        <v>100</v>
      </c>
      <c r="G14" s="19" t="s">
        <v>108</v>
      </c>
      <c r="H14" s="27">
        <v>75</v>
      </c>
      <c r="I14" s="25" t="s">
        <v>109</v>
      </c>
      <c r="J14" s="22">
        <v>95</v>
      </c>
      <c r="K14" s="31" t="str">
        <f t="shared" si="0"/>
        <v>Satria Muda</v>
      </c>
      <c r="L14" s="42"/>
      <c r="M14" s="42"/>
      <c r="N14" s="42"/>
      <c r="O14" s="42"/>
      <c r="P14" s="42"/>
    </row>
    <row r="15" spans="2:16" x14ac:dyDescent="0.25"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</row>
    <row r="16" spans="2:16" x14ac:dyDescent="0.25"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</row>
    <row r="17" spans="2:16" ht="59.25" customHeight="1" x14ac:dyDescent="0.25">
      <c r="B17" s="42"/>
      <c r="C17" s="42"/>
      <c r="D17" s="42"/>
      <c r="E17" s="42"/>
      <c r="F17" s="55"/>
      <c r="G17" s="42"/>
      <c r="H17" s="42"/>
      <c r="I17" s="42"/>
      <c r="J17" s="42"/>
      <c r="K17" s="42"/>
      <c r="L17" s="42"/>
      <c r="M17" s="42"/>
      <c r="N17" s="42"/>
      <c r="O17" s="42"/>
      <c r="P17" s="42"/>
    </row>
    <row r="18" spans="2:16" x14ac:dyDescent="0.25"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</row>
    <row r="19" spans="2:16" ht="44.25" customHeight="1" x14ac:dyDescent="0.25">
      <c r="B19" s="42"/>
      <c r="C19" s="42"/>
      <c r="D19" s="18" t="s">
        <v>93</v>
      </c>
      <c r="E19" s="26" t="s">
        <v>110</v>
      </c>
      <c r="F19" s="21" t="s">
        <v>111</v>
      </c>
      <c r="G19" s="21" t="s">
        <v>112</v>
      </c>
      <c r="H19" s="18" t="s">
        <v>113</v>
      </c>
      <c r="I19" s="26" t="s">
        <v>114</v>
      </c>
      <c r="J19" s="26" t="s">
        <v>115</v>
      </c>
      <c r="K19" s="36" t="s">
        <v>116</v>
      </c>
      <c r="L19" s="18" t="s">
        <v>117</v>
      </c>
      <c r="M19" s="42"/>
      <c r="N19" s="42"/>
      <c r="O19" s="42"/>
      <c r="P19" s="42"/>
    </row>
    <row r="20" spans="2:16" x14ac:dyDescent="0.25">
      <c r="B20" s="42"/>
      <c r="C20" s="42"/>
      <c r="D20" s="32" t="s">
        <v>99</v>
      </c>
      <c r="E20" s="28" t="s">
        <v>101</v>
      </c>
      <c r="F20" s="37">
        <v>0.45</v>
      </c>
      <c r="G20" s="37">
        <v>0.35</v>
      </c>
      <c r="H20" s="33">
        <v>0.75</v>
      </c>
      <c r="I20" s="28">
        <v>42</v>
      </c>
      <c r="J20" s="28">
        <v>20</v>
      </c>
      <c r="K20" s="31">
        <v>15</v>
      </c>
      <c r="L20" s="31">
        <v>22</v>
      </c>
      <c r="M20" s="42"/>
      <c r="N20" s="42"/>
      <c r="O20" s="42"/>
      <c r="P20" s="42"/>
    </row>
    <row r="21" spans="2:16" x14ac:dyDescent="0.25">
      <c r="B21" s="42"/>
      <c r="C21" s="42"/>
      <c r="D21" s="32" t="s">
        <v>99</v>
      </c>
      <c r="E21" s="28" t="s">
        <v>102</v>
      </c>
      <c r="F21" s="37">
        <v>0.42</v>
      </c>
      <c r="G21" s="37">
        <v>0.3</v>
      </c>
      <c r="H21" s="33">
        <v>0.8</v>
      </c>
      <c r="I21" s="28">
        <v>38</v>
      </c>
      <c r="J21" s="28">
        <v>18</v>
      </c>
      <c r="K21" s="31">
        <v>12</v>
      </c>
      <c r="L21" s="31">
        <v>18</v>
      </c>
      <c r="M21" s="42"/>
      <c r="N21" s="42"/>
      <c r="O21" s="42"/>
      <c r="P21" s="42"/>
    </row>
    <row r="22" spans="2:16" x14ac:dyDescent="0.25">
      <c r="B22" s="42"/>
      <c r="C22" s="42"/>
      <c r="D22" s="35" t="s">
        <v>103</v>
      </c>
      <c r="E22" s="25" t="s">
        <v>105</v>
      </c>
      <c r="F22" s="38">
        <v>0.5</v>
      </c>
      <c r="G22" s="38">
        <v>0.4</v>
      </c>
      <c r="H22" s="20">
        <v>0.7</v>
      </c>
      <c r="I22" s="25">
        <v>48</v>
      </c>
      <c r="J22" s="27">
        <v>25</v>
      </c>
      <c r="K22" s="34">
        <v>10</v>
      </c>
      <c r="L22" s="19">
        <v>20</v>
      </c>
      <c r="M22" s="42"/>
      <c r="N22" s="42"/>
      <c r="O22" s="42"/>
      <c r="P22" s="42"/>
    </row>
    <row r="23" spans="2:16" x14ac:dyDescent="0.25">
      <c r="B23" s="42"/>
      <c r="C23" s="42"/>
      <c r="D23" s="32" t="s">
        <v>103</v>
      </c>
      <c r="E23" s="28" t="s">
        <v>106</v>
      </c>
      <c r="F23" s="37">
        <v>0.48</v>
      </c>
      <c r="G23" s="37">
        <v>0.38</v>
      </c>
      <c r="H23" s="33">
        <v>0.85</v>
      </c>
      <c r="I23" s="28">
        <v>45</v>
      </c>
      <c r="J23" s="31">
        <v>22</v>
      </c>
      <c r="K23" s="31">
        <v>8</v>
      </c>
      <c r="L23" s="31">
        <v>21</v>
      </c>
      <c r="M23" s="42"/>
      <c r="N23" s="42"/>
      <c r="O23" s="42"/>
      <c r="P23" s="42"/>
    </row>
    <row r="24" spans="2:16" x14ac:dyDescent="0.25">
      <c r="B24" s="42"/>
      <c r="C24" s="42"/>
      <c r="D24" s="19" t="s">
        <v>107</v>
      </c>
      <c r="E24" s="25" t="s">
        <v>108</v>
      </c>
      <c r="F24" s="38">
        <v>0.38</v>
      </c>
      <c r="G24" s="38">
        <v>0.25</v>
      </c>
      <c r="H24" s="20">
        <v>0.65</v>
      </c>
      <c r="I24" s="25">
        <v>35</v>
      </c>
      <c r="J24" s="22">
        <v>15</v>
      </c>
      <c r="K24" s="22">
        <v>18</v>
      </c>
      <c r="L24" s="19">
        <v>19</v>
      </c>
      <c r="M24" s="42"/>
      <c r="N24" s="42"/>
      <c r="O24" s="42"/>
      <c r="P24" s="42"/>
    </row>
    <row r="25" spans="2:16" x14ac:dyDescent="0.25">
      <c r="B25" s="42"/>
      <c r="C25" s="42"/>
      <c r="D25" s="32" t="s">
        <v>107</v>
      </c>
      <c r="E25" s="28" t="s">
        <v>109</v>
      </c>
      <c r="F25" s="37">
        <v>0.47</v>
      </c>
      <c r="G25" s="37">
        <v>0.32</v>
      </c>
      <c r="H25" s="33">
        <v>0.78</v>
      </c>
      <c r="I25" s="28">
        <v>40</v>
      </c>
      <c r="J25" s="31">
        <v>19</v>
      </c>
      <c r="K25" s="31">
        <v>11</v>
      </c>
      <c r="L25" s="31">
        <v>17</v>
      </c>
      <c r="M25" s="42"/>
      <c r="N25" s="42"/>
      <c r="O25" s="42"/>
      <c r="P25" s="42"/>
    </row>
    <row r="26" spans="2:16" x14ac:dyDescent="0.25"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</row>
    <row r="27" spans="2:16" x14ac:dyDescent="0.25"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</row>
    <row r="28" spans="2:16" x14ac:dyDescent="0.25"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</row>
    <row r="29" spans="2:16" x14ac:dyDescent="0.25"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</row>
    <row r="30" spans="2:16" x14ac:dyDescent="0.25"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</row>
    <row r="31" spans="2:16" x14ac:dyDescent="0.25"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</row>
    <row r="32" spans="2:16" x14ac:dyDescent="0.25"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</row>
    <row r="33" spans="2:16" x14ac:dyDescent="0.25"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</row>
    <row r="34" spans="2:16" x14ac:dyDescent="0.25"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</row>
    <row r="35" spans="2:16" x14ac:dyDescent="0.25"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9C2F3-B590-4BE8-80B6-BCB2FD7660C7}">
  <sheetPr codeName="Sheet4">
    <tabColor theme="3" tint="0.59999389629810485"/>
  </sheetPr>
  <dimension ref="B1:R40"/>
  <sheetViews>
    <sheetView zoomScale="80" zoomScaleNormal="80" workbookViewId="0"/>
  </sheetViews>
  <sheetFormatPr defaultRowHeight="15" x14ac:dyDescent="0.25"/>
  <cols>
    <col min="1" max="1" width="36.28515625" customWidth="1"/>
    <col min="4" max="4" width="17.28515625" customWidth="1"/>
    <col min="5" max="5" width="16.42578125" customWidth="1"/>
    <col min="6" max="6" width="20.7109375" customWidth="1"/>
    <col min="7" max="7" width="15.85546875" customWidth="1"/>
    <col min="8" max="8" width="22.5703125" customWidth="1"/>
    <col min="9" max="9" width="19" customWidth="1"/>
    <col min="10" max="10" width="13.42578125" customWidth="1"/>
    <col min="11" max="11" width="20.28515625" customWidth="1"/>
    <col min="12" max="12" width="22" customWidth="1"/>
    <col min="13" max="13" width="18.140625" customWidth="1"/>
  </cols>
  <sheetData>
    <row r="1" spans="2:18" x14ac:dyDescent="0.25"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</row>
    <row r="2" spans="2:18" x14ac:dyDescent="0.25"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</row>
    <row r="3" spans="2:18" x14ac:dyDescent="0.25"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</row>
    <row r="4" spans="2:18" x14ac:dyDescent="0.25"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</row>
    <row r="5" spans="2:18" x14ac:dyDescent="0.25"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</row>
    <row r="6" spans="2:18" x14ac:dyDescent="0.25"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</row>
    <row r="7" spans="2:18" x14ac:dyDescent="0.25"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</row>
    <row r="8" spans="2:18" x14ac:dyDescent="0.25"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</row>
    <row r="9" spans="2:18" x14ac:dyDescent="0.25"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</row>
    <row r="10" spans="2:18" x14ac:dyDescent="0.25"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</row>
    <row r="11" spans="2:18" x14ac:dyDescent="0.25"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</row>
    <row r="12" spans="2:18" s="9" customFormat="1" ht="30" x14ac:dyDescent="0.25">
      <c r="B12" s="56"/>
      <c r="C12" s="63" t="s">
        <v>0</v>
      </c>
      <c r="D12" s="64" t="s">
        <v>2</v>
      </c>
      <c r="E12" s="64" t="s">
        <v>66</v>
      </c>
      <c r="F12" s="64" t="s">
        <v>65</v>
      </c>
      <c r="G12" s="64" t="s">
        <v>64</v>
      </c>
      <c r="H12" s="64" t="s">
        <v>63</v>
      </c>
      <c r="I12" s="64" t="s">
        <v>62</v>
      </c>
      <c r="J12" s="64" t="s">
        <v>129</v>
      </c>
      <c r="K12" s="64" t="s">
        <v>130</v>
      </c>
      <c r="L12" s="65" t="s">
        <v>61</v>
      </c>
      <c r="M12" s="56"/>
      <c r="N12" s="56"/>
      <c r="O12" s="56"/>
      <c r="P12" s="56"/>
      <c r="Q12" s="56"/>
      <c r="R12" s="56"/>
    </row>
    <row r="13" spans="2:18" x14ac:dyDescent="0.25">
      <c r="B13" s="42"/>
      <c r="C13" s="61">
        <v>1</v>
      </c>
      <c r="D13" s="10" t="s">
        <v>67</v>
      </c>
      <c r="E13" s="10" t="s">
        <v>55</v>
      </c>
      <c r="F13" s="10" t="s">
        <v>59</v>
      </c>
      <c r="G13" s="41" t="s">
        <v>57</v>
      </c>
      <c r="H13" s="10" t="s">
        <v>60</v>
      </c>
      <c r="I13" s="10" t="s">
        <v>56</v>
      </c>
      <c r="J13" s="10">
        <v>2</v>
      </c>
      <c r="K13" s="10">
        <v>2</v>
      </c>
      <c r="L13" s="62" t="str">
        <f>IF(AND(J13="",K13=""), "-", IF(J13 &gt; K13, E13, IF(K13 &gt; J13, F13, "DRAW")))</f>
        <v>DRAW</v>
      </c>
      <c r="M13" s="42"/>
      <c r="N13" s="42"/>
      <c r="O13" s="42"/>
      <c r="P13" s="42"/>
      <c r="Q13" s="42"/>
      <c r="R13" s="42"/>
    </row>
    <row r="14" spans="2:18" x14ac:dyDescent="0.25">
      <c r="B14" s="42"/>
      <c r="C14" s="66">
        <v>2</v>
      </c>
      <c r="D14" s="67" t="s">
        <v>68</v>
      </c>
      <c r="E14" s="67" t="s">
        <v>59</v>
      </c>
      <c r="F14" s="67" t="s">
        <v>55</v>
      </c>
      <c r="G14" s="67" t="s">
        <v>58</v>
      </c>
      <c r="H14" s="67" t="s">
        <v>57</v>
      </c>
      <c r="I14" s="67" t="s">
        <v>56</v>
      </c>
      <c r="J14" s="68">
        <v>1</v>
      </c>
      <c r="K14" s="67">
        <v>3</v>
      </c>
      <c r="L14" s="69" t="str">
        <f>IF(AND(J14="",K14=""), "-", IF(J14 &gt; K14, E14, IF(K14 &gt; J14, F14, "DRAW")))</f>
        <v>Tim Garuda</v>
      </c>
      <c r="M14" s="42"/>
      <c r="N14" s="42"/>
      <c r="O14" s="42"/>
      <c r="P14" s="42"/>
      <c r="Q14" s="42"/>
      <c r="R14" s="42"/>
    </row>
    <row r="15" spans="2:18" x14ac:dyDescent="0.25"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</row>
    <row r="16" spans="2:18" x14ac:dyDescent="0.25"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</row>
    <row r="17" spans="2:18" x14ac:dyDescent="0.25"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</row>
    <row r="18" spans="2:18" x14ac:dyDescent="0.25"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</row>
    <row r="19" spans="2:18" x14ac:dyDescent="0.25"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</row>
    <row r="20" spans="2:18" x14ac:dyDescent="0.25"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</row>
    <row r="21" spans="2:18" ht="16.5" customHeight="1" x14ac:dyDescent="0.25"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</row>
    <row r="22" spans="2:18" ht="40.5" customHeight="1" x14ac:dyDescent="0.25">
      <c r="B22" s="42"/>
      <c r="C22" s="63" t="s">
        <v>0</v>
      </c>
      <c r="D22" s="64" t="s">
        <v>66</v>
      </c>
      <c r="E22" s="64" t="s">
        <v>65</v>
      </c>
      <c r="F22" s="71" t="s">
        <v>92</v>
      </c>
      <c r="G22" s="71" t="s">
        <v>91</v>
      </c>
      <c r="H22" s="71" t="s">
        <v>90</v>
      </c>
      <c r="I22" s="71" t="s">
        <v>89</v>
      </c>
      <c r="J22" s="71" t="s">
        <v>88</v>
      </c>
      <c r="K22" s="71" t="s">
        <v>87</v>
      </c>
      <c r="L22" s="71" t="s">
        <v>86</v>
      </c>
      <c r="M22" s="72" t="s">
        <v>85</v>
      </c>
      <c r="N22" s="42"/>
      <c r="O22" s="42"/>
      <c r="P22" s="42"/>
      <c r="Q22" s="42"/>
      <c r="R22" s="42"/>
    </row>
    <row r="23" spans="2:18" x14ac:dyDescent="0.25">
      <c r="B23" s="42"/>
      <c r="C23" s="61">
        <v>1</v>
      </c>
      <c r="D23" s="10" t="s">
        <v>55</v>
      </c>
      <c r="E23" s="10" t="s">
        <v>59</v>
      </c>
      <c r="F23" s="11" t="s">
        <v>84</v>
      </c>
      <c r="G23" s="11" t="s">
        <v>83</v>
      </c>
      <c r="H23" s="11" t="s">
        <v>82</v>
      </c>
      <c r="I23" s="11" t="s">
        <v>81</v>
      </c>
      <c r="J23" s="11" t="s">
        <v>80</v>
      </c>
      <c r="K23" s="11" t="s">
        <v>79</v>
      </c>
      <c r="L23" s="11" t="s">
        <v>78</v>
      </c>
      <c r="M23" s="70" t="s">
        <v>77</v>
      </c>
      <c r="N23" s="42"/>
      <c r="O23" s="42"/>
      <c r="P23" s="42"/>
      <c r="Q23" s="42"/>
      <c r="R23" s="42"/>
    </row>
    <row r="24" spans="2:18" x14ac:dyDescent="0.25">
      <c r="B24" s="42"/>
      <c r="C24" s="66">
        <v>2</v>
      </c>
      <c r="D24" s="67" t="s">
        <v>59</v>
      </c>
      <c r="E24" s="67" t="s">
        <v>55</v>
      </c>
      <c r="F24" s="73" t="s">
        <v>76</v>
      </c>
      <c r="G24" s="73" t="s">
        <v>75</v>
      </c>
      <c r="H24" s="73" t="s">
        <v>74</v>
      </c>
      <c r="I24" s="73" t="s">
        <v>73</v>
      </c>
      <c r="J24" s="73" t="s">
        <v>72</v>
      </c>
      <c r="K24" s="73" t="s">
        <v>71</v>
      </c>
      <c r="L24" s="73" t="s">
        <v>70</v>
      </c>
      <c r="M24" s="74" t="s">
        <v>69</v>
      </c>
      <c r="N24" s="42"/>
      <c r="O24" s="42"/>
      <c r="P24" s="42"/>
      <c r="Q24" s="42"/>
      <c r="R24" s="42"/>
    </row>
    <row r="25" spans="2:18" x14ac:dyDescent="0.25"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</row>
    <row r="26" spans="2:18" x14ac:dyDescent="0.25"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</row>
    <row r="27" spans="2:18" x14ac:dyDescent="0.25">
      <c r="B27" s="42"/>
      <c r="K27" s="42"/>
      <c r="L27" s="42"/>
      <c r="M27" s="42"/>
      <c r="N27" s="42"/>
      <c r="O27" s="42"/>
      <c r="P27" s="42"/>
      <c r="Q27" s="42"/>
      <c r="R27" s="42"/>
    </row>
    <row r="28" spans="2:18" x14ac:dyDescent="0.25">
      <c r="B28" s="42"/>
      <c r="K28" s="42"/>
      <c r="L28" s="42"/>
      <c r="M28" s="42"/>
      <c r="N28" s="42"/>
      <c r="O28" s="42"/>
      <c r="P28" s="42"/>
      <c r="Q28" s="42"/>
      <c r="R28" s="42"/>
    </row>
    <row r="29" spans="2:18" x14ac:dyDescent="0.25">
      <c r="B29" s="42"/>
      <c r="K29" s="42"/>
      <c r="L29" s="42"/>
      <c r="M29" s="42"/>
      <c r="N29" s="42"/>
      <c r="O29" s="42"/>
      <c r="P29" s="42"/>
      <c r="Q29" s="42"/>
      <c r="R29" s="42"/>
    </row>
    <row r="30" spans="2:18" x14ac:dyDescent="0.25"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</row>
    <row r="31" spans="2:18" x14ac:dyDescent="0.25">
      <c r="B31" s="42"/>
      <c r="C31" s="75" t="s">
        <v>0</v>
      </c>
      <c r="D31" s="76" t="s">
        <v>110</v>
      </c>
      <c r="E31" s="76" t="s">
        <v>41</v>
      </c>
      <c r="F31" s="76" t="s">
        <v>42</v>
      </c>
      <c r="G31" s="76" t="s">
        <v>134</v>
      </c>
      <c r="H31" s="76" t="s">
        <v>43</v>
      </c>
      <c r="I31" s="76" t="s">
        <v>131</v>
      </c>
      <c r="J31" s="76" t="s">
        <v>132</v>
      </c>
      <c r="K31" s="76" t="s">
        <v>135</v>
      </c>
      <c r="L31" s="77" t="s">
        <v>133</v>
      </c>
      <c r="M31" s="42"/>
      <c r="N31" s="42"/>
      <c r="O31" s="42"/>
      <c r="P31" s="42"/>
      <c r="Q31" s="42"/>
      <c r="R31" s="42"/>
    </row>
    <row r="32" spans="2:18" x14ac:dyDescent="0.25">
      <c r="B32" s="42"/>
      <c r="C32" s="61">
        <f>_xlfn.RANK.EQ(M32, $M$32:$M$40)</f>
        <v>1</v>
      </c>
      <c r="D32" s="10" t="s">
        <v>55</v>
      </c>
      <c r="E32" s="10">
        <f>COUNTIF($E$13:$E$29, D32) + COUNTIF($F$13:$F$29, D32)</f>
        <v>3</v>
      </c>
      <c r="F32" s="10">
        <f>COUNTIF($L$13:$L$29, D32)</f>
        <v>1</v>
      </c>
      <c r="G32" s="10">
        <f>COUNTIFS($E$13:$E$29, D32, $L$13:$L$29, "DRAW") + COUNTIFS($F$13:$F$29, D32, $L$13:$L$29, "DRAW")</f>
        <v>1</v>
      </c>
      <c r="H32" s="10">
        <f>E32 - F32 - G32</f>
        <v>1</v>
      </c>
      <c r="I32" s="10">
        <f>SUMIFS($J$13:$J$29, $E$13:$E$29, D32) + SUMIFS($K$13:$K$29, $F$13:$F$29, D32)</f>
        <v>5</v>
      </c>
      <c r="J32" s="10">
        <f>SUMIFS($K$13:$K$29, $E$13:$E$29, D32) + SUMIFS($J$13:$J$29, $F$13:$F$29, D32)</f>
        <v>3</v>
      </c>
      <c r="K32" s="10">
        <f>I32 - J32</f>
        <v>2</v>
      </c>
      <c r="L32" s="62">
        <f>(F32*3) + (G32*1)</f>
        <v>4</v>
      </c>
      <c r="M32" s="60">
        <f>(L32*100000) + ((K32+1000)*100) + I32</f>
        <v>500205</v>
      </c>
      <c r="N32" s="42"/>
      <c r="O32" s="42"/>
      <c r="P32" s="42"/>
      <c r="Q32" s="42"/>
      <c r="R32" s="42"/>
    </row>
    <row r="33" spans="2:18" x14ac:dyDescent="0.25">
      <c r="B33" s="42"/>
      <c r="C33" s="66">
        <f>_xlfn.RANK.EQ(M33, $M$32:$M$40)</f>
        <v>2</v>
      </c>
      <c r="D33" s="67" t="s">
        <v>59</v>
      </c>
      <c r="E33" s="67">
        <f>COUNTIF($E$13:$E$29, D33) + COUNTIF($F$13:$F$29, D33)</f>
        <v>3</v>
      </c>
      <c r="F33" s="67">
        <f>COUNTIF($L$13:$L$29, D33)</f>
        <v>0</v>
      </c>
      <c r="G33" s="67">
        <f>COUNTIFS($E$13:$E$29, D33, $L$13:$L$29, "DRAW") + COUNTIFS($F$13:$F$29, D33, $L$13:$L$29, "DRAW")</f>
        <v>1</v>
      </c>
      <c r="H33" s="67">
        <f>E33 - F33 - G33</f>
        <v>2</v>
      </c>
      <c r="I33" s="67">
        <f>SUMIFS($J$13:$J$29, $E$13:$E$29, D33) + SUMIFS($K$13:$K$29, $F$13:$F$29, D33)</f>
        <v>3</v>
      </c>
      <c r="J33" s="67">
        <f>SUMIFS($K$13:$K$29, $E$13:$E$29, D33) + SUMIFS($J$13:$J$29, $F$13:$F$29, D33)</f>
        <v>5</v>
      </c>
      <c r="K33" s="67">
        <f>I33 - J33</f>
        <v>-2</v>
      </c>
      <c r="L33" s="69">
        <f>(F33*3) + (G33*1)</f>
        <v>1</v>
      </c>
      <c r="M33" s="60">
        <f>(L33*100000) + ((K33+1000)*100) + I33</f>
        <v>199803</v>
      </c>
      <c r="N33" s="42"/>
      <c r="O33" s="42"/>
      <c r="P33" s="42"/>
      <c r="Q33" s="42"/>
      <c r="R33" s="42"/>
    </row>
    <row r="34" spans="2:18" x14ac:dyDescent="0.25"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</row>
    <row r="35" spans="2:18" x14ac:dyDescent="0.25"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</row>
    <row r="36" spans="2:18" x14ac:dyDescent="0.25"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</row>
    <row r="37" spans="2:18" x14ac:dyDescent="0.25"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</row>
    <row r="38" spans="2:18" x14ac:dyDescent="0.25"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</row>
    <row r="39" spans="2:18" x14ac:dyDescent="0.25"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</row>
    <row r="40" spans="2:18" x14ac:dyDescent="0.25"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</row>
  </sheetData>
  <pageMargins left="0.7" right="0.7" top="0.75" bottom="0.75" header="0.3" footer="0.3"/>
  <pageSetup paperSize="9" orientation="portrait" r:id="rId1"/>
  <drawing r:id="rId2"/>
  <tableParts count="3"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Dashboard</vt:lpstr>
      <vt:lpstr>Voli</vt:lpstr>
      <vt:lpstr>Basket</vt:lpstr>
      <vt:lpstr>Sepak Bola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ASUS</cp:lastModifiedBy>
  <dcterms:created xsi:type="dcterms:W3CDTF">2025-11-13T12:08:38Z</dcterms:created>
  <dcterms:modified xsi:type="dcterms:W3CDTF">2025-12-06T07:57:11Z</dcterms:modified>
</cp:coreProperties>
</file>